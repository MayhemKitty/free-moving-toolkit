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Dashboard" sheetId="2" state="visible" r:id="rId4"/>
    <sheet name="Task Tracker" sheetId="3" state="visible" r:id="rId5"/>
    <sheet name="Providers" sheetId="4" state="visible" r:id="rId6"/>
    <sheet name="Budget" sheetId="5" state="visible" r:id="rId7"/>
    <sheet name="Contingencies" sheetId="6" state="visible" r:id="rId8"/>
  </sheets>
  <definedNames>
    <definedName function="false" hidden="false" localSheetId="4" name="_xlnm.Print_Titles" vbProcedure="false">Budget!$1:$4</definedName>
    <definedName function="false" hidden="false" localSheetId="5" name="_xlnm.Print_Titles" vbProcedure="false">Contingencies!$1:$4</definedName>
    <definedName function="false" hidden="true" localSheetId="5" name="_xlnm._FilterDatabase" vbProcedure="false">Contingencies!$A$4:$G$24</definedName>
    <definedName function="false" hidden="false" localSheetId="3" name="_xlnm.Print_Titles" vbProcedure="false">Providers!$1:$4</definedName>
    <definedName function="false" hidden="true" localSheetId="3" name="_xlnm._FilterDatabase" vbProcedure="false">Providers!$A$4:$I$24</definedName>
    <definedName function="false" hidden="false" localSheetId="2" name="_xlnm.Print_Titles" vbProcedure="false">'Task Tracker'!$1:$4</definedName>
    <definedName function="false" hidden="true" localSheetId="2" name="_xlnm._FilterDatabase" vbProcedure="false">'Task Tracker'!$A$4:$G$54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<sst xmlns="http://schemas.openxmlformats.org/spreadsheetml/2006/main" count="149" uniqueCount="122">
  <si>
    <t xml:space="preserve">WELCOME TO YOUR LONG-DISTANCE MOVE TRACKER</t>
  </si>
  <si>
    <t xml:space="preserve">A calm, practical workbook to help you coordinate tasks, providers, costs, and changes during a long-distance move.</t>
  </si>
  <si>
    <t xml:space="preserve">YOUR WORKFLOW  |  Dashboard  →  Task Tracker  →  Providers  →  Budget  →  Contingencies</t>
  </si>
  <si>
    <t xml:space="preserve">HOW TO GET STARTED</t>
  </si>
  <si>
    <t xml:space="preserve">1  |  Start on Dashboard</t>
  </si>
  <si>
    <t xml:space="preserve">Enter your origin, destination, and planned move dates. The summary updates as you work in the other tabs.</t>
  </si>
  <si>
    <t xml:space="preserve">2  |  Customize Task Tracker</t>
  </si>
  <si>
    <t xml:space="preserve">Edit the sample tasks or add your own. Enter due dates, status, estimated costs, and notes about dependencies.</t>
  </si>
  <si>
    <t xml:space="preserve">3  |  Use the color alerts</t>
  </si>
  <si>
    <t xml:space="preserve">Red means an unfinished task is overdue; amber means it is due within 7 days; green means completed.</t>
  </si>
  <si>
    <t xml:space="preserve">4  |  Compare Providers</t>
  </si>
  <si>
    <t xml:space="preserve">Record written quotes, deposits, balances, service dates, pickup/delivery windows, and cancellation terms.</t>
  </si>
  <si>
    <t xml:space="preserve">5  |  Track the Budget</t>
  </si>
  <si>
    <t xml:space="preserve">Estimated costs for key providers pull from their quotes on Providers. Enter actual/final costs in Budget and mark expenses as paid when appropriate.</t>
  </si>
  <si>
    <t xml:space="preserve">6  |  Record changes</t>
  </si>
  <si>
    <t xml:space="preserve">Use Contingencies when plans change. Note what happened, what it affects, the next action, and who is responsible.</t>
  </si>
  <si>
    <t xml:space="preserve">IMPORTANT TO KNOW</t>
  </si>
  <si>
    <t xml:space="preserve">This workbook updates from information you enter. It does not connect to moving companies, verify quotes, or automatically detect appointment changes. Confirm dates, terms, and deadlines directly with each provider.</t>
  </si>
  <si>
    <t xml:space="preserve">HELPFUL TIP</t>
  </si>
  <si>
    <t xml:space="preserve">Some cells have dropdown menus with predefined choices, such as task status or provider type. Click a cell to see whether a dropdown is available, and select an option when appropriate. Use real dates in date fields, keep a backup copy as you customize the workbook, and check that automatic calculation is enabled if formulas do not update as expected.</t>
  </si>
  <si>
    <t xml:space="preserve">LONG-DISTANCE MOVE  |  DASHBOARD</t>
  </si>
  <si>
    <t xml:space="preserve">Your move at a glance. Update the other tabs and this overview will recalculate.</t>
  </si>
  <si>
    <t xml:space="preserve">MOVE DETAILS</t>
  </si>
  <si>
    <t xml:space="preserve">AT A GLANCE</t>
  </si>
  <si>
    <t xml:space="preserve">Origin</t>
  </si>
  <si>
    <t xml:space="preserve">Enter city / state</t>
  </si>
  <si>
    <t xml:space="preserve">Total estimated budget</t>
  </si>
  <si>
    <t xml:space="preserve">Destination</t>
  </si>
  <si>
    <t xml:space="preserve">Total actual costs</t>
  </si>
  <si>
    <t xml:space="preserve">Move-out date</t>
  </si>
  <si>
    <t xml:space="preserve">Tasks not complete</t>
  </si>
  <si>
    <t xml:space="preserve">Move-in date</t>
  </si>
  <si>
    <t xml:space="preserve">Overdue tasks</t>
  </si>
  <si>
    <t xml:space="preserve">Completed tasks</t>
  </si>
  <si>
    <t xml:space="preserve">Open contingency items</t>
  </si>
  <si>
    <t xml:space="preserve">HOW TO USE THIS DASHBOARD</t>
  </si>
  <si>
    <t xml:space="preserve">1. Enter your origin, destination, and dates above.   2. Update tasks on Task Tracker.   3. Enter estimates and actual costs in Budget.   4. Record provider quotes and unexpected changes on their tabs.</t>
  </si>
  <si>
    <t xml:space="preserve">COLOR KEY</t>
  </si>
  <si>
    <t xml:space="preserve">OVERDUE  —  unfinished task past due</t>
  </si>
  <si>
    <t xml:space="preserve">COMING UP  —  due within 7 days</t>
  </si>
  <si>
    <t xml:space="preserve">COMPLETE  —  task finished</t>
  </si>
  <si>
    <t xml:space="preserve">TASK TRACKER</t>
  </si>
  <si>
    <t xml:space="preserve">Sample tasks are examples only. Edit or delete them to fit your move; all sample tasks start as Not started.</t>
  </si>
  <si>
    <t xml:space="preserve">Task</t>
  </si>
  <si>
    <t xml:space="preserve">Category</t>
  </si>
  <si>
    <t xml:space="preserve">Due Date</t>
  </si>
  <si>
    <t xml:space="preserve">Status</t>
  </si>
  <si>
    <t xml:space="preserve">Estimated Cost ($)</t>
  </si>
  <si>
    <t xml:space="preserve">Depends On / Notes</t>
  </si>
  <si>
    <t xml:space="preserve">Days Until Due</t>
  </si>
  <si>
    <t xml:space="preserve">EXAMPLE: Compare quotes</t>
  </si>
  <si>
    <t xml:space="preserve">Booking</t>
  </si>
  <si>
    <t xml:space="preserve">Not started</t>
  </si>
  <si>
    <t xml:space="preserve">Example: Request written estimates from providers</t>
  </si>
  <si>
    <t xml:space="preserve">EXAMPLE: Confirm delivery</t>
  </si>
  <si>
    <t xml:space="preserve">Shipment</t>
  </si>
  <si>
    <t xml:space="preserve">Example: Confirm delivery window with provider</t>
  </si>
  <si>
    <t xml:space="preserve">EXAMPLE: Finish loading container</t>
  </si>
  <si>
    <t xml:space="preserve">Loading</t>
  </si>
  <si>
    <t xml:space="preserve">Example: Allow enough time for loading</t>
  </si>
  <si>
    <t xml:space="preserve">EXAMPLE: Confirm pickup</t>
  </si>
  <si>
    <t xml:space="preserve">Example: Confirm pickup timing with provider</t>
  </si>
  <si>
    <t xml:space="preserve">EXAMPLE: Book unloading crew</t>
  </si>
  <si>
    <t xml:space="preserve">Example: Confirm expected delivery window first</t>
  </si>
  <si>
    <t xml:space="preserve">EXAMPLE: Arrange vehicle transport</t>
  </si>
  <si>
    <t xml:space="preserve">Vehicle</t>
  </si>
  <si>
    <t xml:space="preserve">Example: Record pickup and delivery windows</t>
  </si>
  <si>
    <t xml:space="preserve">EXAMPLE: Set up destination utilities</t>
  </si>
  <si>
    <t xml:space="preserve">Utilities</t>
  </si>
  <si>
    <t xml:space="preserve">Example: Check activation dates and access</t>
  </si>
  <si>
    <t xml:space="preserve">EXAMPLE: Prepare essentials bag</t>
  </si>
  <si>
    <t xml:space="preserve">Travel</t>
  </si>
  <si>
    <t xml:space="preserve">Example: Keep essentials accessible during travel</t>
  </si>
  <si>
    <t xml:space="preserve">EXAMPLE: Inspect delivered belongings</t>
  </si>
  <si>
    <t xml:space="preserve">Delivery</t>
  </si>
  <si>
    <t xml:space="preserve">Example: Photograph damage and record missing items</t>
  </si>
  <si>
    <t xml:space="preserve">EXAMPLE: Update address and records</t>
  </si>
  <si>
    <t xml:space="preserve">Admin</t>
  </si>
  <si>
    <t xml:space="preserve">Example: Check which agencies and providers need updates</t>
  </si>
  <si>
    <t xml:space="preserve">PROVIDER COMPARISON</t>
  </si>
  <si>
    <t xml:space="preserve">Compare providers using written quotes and confirmed terms. To add another provider, use a blank row below and choose its Service Type from the dropdown.</t>
  </si>
  <si>
    <t xml:space="preserve">Service Type</t>
  </si>
  <si>
    <t xml:space="preserve">Company</t>
  </si>
  <si>
    <t xml:space="preserve">Contact / Phone</t>
  </si>
  <si>
    <t xml:space="preserve">Quote ($)</t>
  </si>
  <si>
    <t xml:space="preserve">Deposit ($)</t>
  </si>
  <si>
    <t xml:space="preserve">Balance ($)</t>
  </si>
  <si>
    <t xml:space="preserve">Pickup / Service Date</t>
  </si>
  <si>
    <t xml:space="preserve">Delivery Window / Notes</t>
  </si>
  <si>
    <t xml:space="preserve">Cancellation / Coverage Notes</t>
  </si>
  <si>
    <t xml:space="preserve">Moving company</t>
  </si>
  <si>
    <t xml:space="preserve">Container / POD service</t>
  </si>
  <si>
    <t xml:space="preserve">Self-storage facility</t>
  </si>
  <si>
    <t xml:space="preserve">Destination unloading crew</t>
  </si>
  <si>
    <t xml:space="preserve">Vehicle transport</t>
  </si>
  <si>
    <t xml:space="preserve">MOVING BUDGET</t>
  </si>
  <si>
    <t xml:space="preserve">Estimated costs for the moving company, container, self-storage, unloading crew, and vehicle transport pull from Providers when a quote is entered. Enter final/updated costs in Actual ($). Positive variance means actual cost is over estimate.</t>
  </si>
  <si>
    <t xml:space="preserve">Expense</t>
  </si>
  <si>
    <t xml:space="preserve">Provider / Notes</t>
  </si>
  <si>
    <t xml:space="preserve">Estimated ($)
(auto from Providers)</t>
  </si>
  <si>
    <t xml:space="preserve">Actual ($)
(enter here)</t>
  </si>
  <si>
    <t xml:space="preserve">Variance ($)</t>
  </si>
  <si>
    <t xml:space="preserve">Paid?</t>
  </si>
  <si>
    <t xml:space="preserve">No</t>
  </si>
  <si>
    <t xml:space="preserve">Destination unloading</t>
  </si>
  <si>
    <t xml:space="preserve">Temporary lodging</t>
  </si>
  <si>
    <t xml:space="preserve">Utilities / setup</t>
  </si>
  <si>
    <t xml:space="preserve">Packing supplies</t>
  </si>
  <si>
    <t xml:space="preserve">Meals during move</t>
  </si>
  <si>
    <t xml:space="preserve">Cleaning / repairs</t>
  </si>
  <si>
    <t xml:space="preserve">Unexpected costs</t>
  </si>
  <si>
    <t xml:space="preserve">Other</t>
  </si>
  <si>
    <t xml:space="preserve">TOTAL</t>
  </si>
  <si>
    <t xml:space="preserve">CHANGE &amp; CONTINGENCY LOG</t>
  </si>
  <si>
    <t xml:space="preserve">When plans change, record the impact, the next action, and who owns it.</t>
  </si>
  <si>
    <t xml:space="preserve">Date Identified</t>
  </si>
  <si>
    <t xml:space="preserve">What Changed?</t>
  </si>
  <si>
    <t xml:space="preserve">Affected Booking / Task</t>
  </si>
  <si>
    <t xml:space="preserve">Impact</t>
  </si>
  <si>
    <t xml:space="preserve">Next Action</t>
  </si>
  <si>
    <t xml:space="preserve">Responsible Person / Company</t>
  </si>
  <si>
    <t xml:space="preserve">Resolved?</t>
  </si>
</sst>
</file>

<file path=xl/styles.xml><?xml version="1.0" encoding="utf-8"?>
<styleSheet xmlns="http://schemas.openxmlformats.org/spreadsheetml/2006/main">
  <numFmts count="6">
    <numFmt numFmtId="164" formatCode="General"/>
    <numFmt numFmtId="165" formatCode="\$#,##0.00;[RED]&quot;-$&quot;#,##0.00"/>
    <numFmt numFmtId="166" formatCode="mmm\ d&quot;, &quot;yyyy"/>
    <numFmt numFmtId="167" formatCode="0"/>
    <numFmt numFmtId="168" formatCode="\(000\)000\-0000"/>
    <numFmt numFmtId="169" formatCode="\$#,##0.00;[RED]&quot;-$&quot;#,##0.00;General"/>
  </numFmts>
  <fonts count="15">
    <font>
      <sz val="11"/>
      <color theme="1"/>
      <name val="Calibri"/>
      <family val="2"/>
      <charset val="1"/>
    </font>
    <font>
      <sz val="10"/>
      <name val="Arial"/>
      <family val="0"/>
    </font>
    <font>
      <sz val="10"/>
      <name val="Arial"/>
      <family val="0"/>
    </font>
    <font>
      <sz val="10"/>
      <name val="Arial"/>
      <family val="0"/>
    </font>
    <font>
      <b val="true"/>
      <sz val="20"/>
      <color rgb="FFFFFFFF"/>
      <name val="Aptos Display"/>
      <family val="0"/>
      <charset val="1"/>
    </font>
    <font>
      <b val="true"/>
      <sz val="18"/>
      <color rgb="FFFFFFFF"/>
      <name val="Aptos Display"/>
      <family val="0"/>
      <charset val="1"/>
    </font>
    <font>
      <i val="true"/>
      <sz val="12"/>
      <color rgb="FF5B6770"/>
      <name val="Aptos"/>
      <family val="0"/>
      <charset val="1"/>
    </font>
    <font>
      <sz val="12"/>
      <color rgb="FF233B53"/>
      <name val="Aptos"/>
      <family val="0"/>
      <charset val="1"/>
    </font>
    <font>
      <b val="true"/>
      <sz val="13"/>
      <color rgb="FFFFFFFF"/>
      <name val="Aptos"/>
      <family val="0"/>
      <charset val="1"/>
    </font>
    <font>
      <b val="true"/>
      <sz val="14"/>
      <color rgb="FFFFFFFF"/>
      <name val="Aptos"/>
      <family val="0"/>
      <charset val="1"/>
    </font>
    <font>
      <b val="true"/>
      <sz val="12"/>
      <color rgb="FF233B53"/>
      <name val="Aptos"/>
      <family val="0"/>
      <charset val="1"/>
    </font>
    <font>
      <b val="true"/>
      <sz val="15"/>
      <color rgb="FF233B53"/>
      <name val="Aptos"/>
      <family val="0"/>
      <charset val="1"/>
    </font>
    <font>
      <i val="true"/>
      <sz val="12"/>
      <color rgb="FF586777"/>
      <name val="Calibri"/>
      <family val="0"/>
      <charset val="1"/>
    </font>
    <font>
      <b val="true"/>
      <sz val="12"/>
      <color rgb="FFFFFFFF"/>
      <name val="Aptos"/>
      <family val="0"/>
      <charset val="1"/>
    </font>
    <font>
      <sz val="12"/>
      <color rgb="FF236B67"/>
      <name val="Aptos"/>
      <family val="0"/>
      <charset val="1"/>
    </font>
  </fonts>
  <fills count="16">
    <fill>
      <patternFill patternType="none"/>
    </fill>
    <fill>
      <patternFill patternType="gray125"/>
    </fill>
    <fill>
      <patternFill patternType="solid">
        <fgColor rgb="FF233B53"/>
        <bgColor rgb="FF24415B"/>
      </patternFill>
    </fill>
    <fill>
      <patternFill patternType="solid">
        <fgColor rgb="FF24415B"/>
        <bgColor rgb="FF233B53"/>
      </patternFill>
    </fill>
    <fill>
      <patternFill patternType="solid">
        <fgColor rgb="FFFAF9F6"/>
        <bgColor rgb="FFF8FAFB"/>
      </patternFill>
    </fill>
    <fill>
      <patternFill patternType="solid">
        <fgColor rgb="FF2F7C7A"/>
        <bgColor rgb="FF236B67"/>
      </patternFill>
    </fill>
    <fill>
      <patternFill patternType="solid">
        <fgColor rgb="FFEEF1F4"/>
        <bgColor rgb="FFE8F3F2"/>
      </patternFill>
    </fill>
    <fill>
      <patternFill patternType="solid">
        <fgColor rgb="FFFFFFFF"/>
        <bgColor rgb="FFF8FAFB"/>
      </patternFill>
    </fill>
    <fill>
      <patternFill patternType="solid">
        <fgColor rgb="FFF4F7F8"/>
        <bgColor rgb="FFF8FAFB"/>
      </patternFill>
    </fill>
    <fill>
      <patternFill patternType="solid">
        <fgColor rgb="FFFFF0CC"/>
        <bgColor rgb="FFFFF2CC"/>
      </patternFill>
    </fill>
    <fill>
      <patternFill patternType="solid">
        <fgColor rgb="FFE8F3F2"/>
        <bgColor rgb="FFE2F3F1"/>
      </patternFill>
    </fill>
    <fill>
      <patternFill patternType="solid">
        <fgColor rgb="FFF9DEDC"/>
        <bgColor rgb="FFFCE4D6"/>
      </patternFill>
    </fill>
    <fill>
      <patternFill patternType="solid">
        <fgColor rgb="FFDDEFE4"/>
        <bgColor rgb="FFE2F0D9"/>
      </patternFill>
    </fill>
    <fill>
      <patternFill patternType="solid">
        <fgColor rgb="FFF7F5F0"/>
        <bgColor rgb="FFF4F7F8"/>
      </patternFill>
    </fill>
    <fill>
      <patternFill patternType="solid">
        <fgColor rgb="FFE2F3F1"/>
        <bgColor rgb="FFE8F3F2"/>
      </patternFill>
    </fill>
    <fill>
      <patternFill patternType="solid">
        <fgColor rgb="FFF8FAFB"/>
        <bgColor rgb="FFFAF9F6"/>
      </patternFill>
    </fill>
  </fills>
  <borders count="6">
    <border diagonalUp="false" diagonalDown="false">
      <left/>
      <right/>
      <top/>
      <bottom/>
      <diagonal/>
    </border>
    <border diagonalUp="false" diagonalDown="false">
      <left/>
      <right/>
      <top/>
      <bottom style="hair">
        <color rgb="FFD6DEE5"/>
      </bottom>
      <diagonal/>
    </border>
    <border diagonalUp="false" diagonalDown="false">
      <left/>
      <right/>
      <top/>
      <bottom style="medium">
        <color rgb="FF233B53"/>
      </bottom>
      <diagonal/>
    </border>
    <border diagonalUp="false" diagonalDown="false">
      <left style="thin">
        <color rgb="FFD6DEE5"/>
      </left>
      <right/>
      <top/>
      <bottom style="hair">
        <color rgb="FFD6DEE5"/>
      </bottom>
      <diagonal/>
    </border>
    <border diagonalUp="false" diagonalDown="false">
      <left/>
      <right/>
      <top style="medium">
        <color rgb="FF2F7C7A"/>
      </top>
      <bottom/>
      <diagonal/>
    </border>
    <border diagonalUp="false" diagonalDown="false">
      <left/>
      <right/>
      <top/>
      <bottom style="thin">
        <color rgb="FFD6DEE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center" textRotation="0" wrapText="true" indent="0" shrinkToFit="false"/>
      <protection locked="true" hidden="false"/>
    </xf>
    <xf numFmtId="164" fontId="7" fillId="4" borderId="1" xfId="0" applyFont="true" applyBorder="true" applyAlignment="true" applyProtection="false">
      <alignment horizontal="general" vertical="center" textRotation="0" wrapText="tru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4" fontId="9" fillId="2" borderId="1" xfId="0" applyFont="true" applyBorder="true" applyAlignment="true" applyProtection="false">
      <alignment horizontal="general" vertical="center" textRotation="0" wrapText="false" indent="0" shrinkToFit="false"/>
      <protection locked="true" hidden="false"/>
    </xf>
    <xf numFmtId="164" fontId="10" fillId="6" borderId="1" xfId="0" applyFont="true" applyBorder="true" applyAlignment="true" applyProtection="false">
      <alignment horizontal="general" vertical="center" textRotation="0" wrapText="true" indent="0" shrinkToFit="false"/>
      <protection locked="true" hidden="false"/>
    </xf>
    <xf numFmtId="164" fontId="7" fillId="7" borderId="1" xfId="0" applyFont="true" applyBorder="true" applyAlignment="true" applyProtection="false">
      <alignment horizontal="general" vertical="center" textRotation="0" wrapText="true" indent="0" shrinkToFit="false"/>
      <protection locked="true" hidden="false"/>
    </xf>
    <xf numFmtId="164" fontId="7" fillId="8" borderId="1" xfId="0" applyFont="true" applyBorder="true" applyAlignment="true" applyProtection="false">
      <alignment horizontal="general" vertical="center" textRotation="0" wrapText="true" indent="0" shrinkToFit="false"/>
      <protection locked="true" hidden="false"/>
    </xf>
    <xf numFmtId="164" fontId="7" fillId="9" borderId="1" xfId="0" applyFont="true" applyBorder="true" applyAlignment="true" applyProtection="false">
      <alignment horizontal="general" vertical="center" textRotation="0" wrapText="true" indent="1" shrinkToFit="false"/>
      <protection locked="true" hidden="false"/>
    </xf>
    <xf numFmtId="164" fontId="9" fillId="5" borderId="1" xfId="0" applyFont="true" applyBorder="true" applyAlignment="true" applyProtection="false">
      <alignment horizontal="general" vertical="center" textRotation="0" wrapText="false" indent="0" shrinkToFit="false"/>
      <protection locked="true" hidden="false"/>
    </xf>
    <xf numFmtId="164" fontId="7" fillId="10" borderId="1" xfId="0" applyFont="true" applyBorder="true" applyAlignment="true" applyProtection="false">
      <alignment horizontal="general" vertical="center" textRotation="0" wrapText="true" indent="1" shrinkToFit="false"/>
      <protection locked="true" hidden="false"/>
    </xf>
    <xf numFmtId="164" fontId="8" fillId="5" borderId="1" xfId="0" applyFont="true" applyBorder="true" applyAlignment="true" applyProtection="false">
      <alignment horizontal="general" vertical="center" textRotation="0" wrapText="false" indent="0" shrinkToFit="false"/>
      <protection locked="true" hidden="false"/>
    </xf>
    <xf numFmtId="165" fontId="11" fillId="10" borderId="1" xfId="0" applyFont="true" applyBorder="true" applyAlignment="true" applyProtection="false">
      <alignment horizontal="right" vertical="center" textRotation="0" wrapText="false" indent="0" shrinkToFit="false"/>
      <protection locked="true" hidden="false"/>
    </xf>
    <xf numFmtId="166" fontId="7" fillId="7" borderId="1" xfId="0" applyFont="true" applyBorder="true" applyAlignment="true" applyProtection="false">
      <alignment horizontal="general" vertical="center" textRotation="0" wrapText="true" indent="0" shrinkToFit="false"/>
      <protection locked="true" hidden="false"/>
    </xf>
    <xf numFmtId="167" fontId="11" fillId="10" borderId="1" xfId="0" applyFont="true" applyBorder="true" applyAlignment="true" applyProtection="false">
      <alignment horizontal="right" vertical="center" textRotation="0" wrapText="false" indent="0" shrinkToFit="false"/>
      <protection locked="true" hidden="false"/>
    </xf>
    <xf numFmtId="164" fontId="8" fillId="2" borderId="1" xfId="0" applyFont="true" applyBorder="true" applyAlignment="true" applyProtection="false">
      <alignment horizontal="general" vertical="center" textRotation="0" wrapText="false" indent="0" shrinkToFit="false"/>
      <protection locked="true" hidden="false"/>
    </xf>
    <xf numFmtId="164" fontId="10" fillId="11" borderId="1" xfId="0" applyFont="true" applyBorder="true" applyAlignment="true" applyProtection="false">
      <alignment horizontal="general" vertical="center" textRotation="0" wrapText="false" indent="1" shrinkToFit="false"/>
      <protection locked="true" hidden="false"/>
    </xf>
    <xf numFmtId="164" fontId="10" fillId="9" borderId="1" xfId="0" applyFont="true" applyBorder="true" applyAlignment="true" applyProtection="false">
      <alignment horizontal="general" vertical="center" textRotation="0" wrapText="false" indent="1" shrinkToFit="false"/>
      <protection locked="true" hidden="false"/>
    </xf>
    <xf numFmtId="164" fontId="10" fillId="12" borderId="1" xfId="0" applyFont="true" applyBorder="true" applyAlignment="true" applyProtection="false">
      <alignment horizontal="general" vertical="center" textRotation="0" wrapText="false" indent="1"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6" fillId="4" borderId="0" xfId="0" applyFont="true" applyBorder="true" applyAlignment="true" applyProtection="false">
      <alignment horizontal="general" vertical="center" textRotation="0" wrapText="true" indent="0" shrinkToFit="false"/>
      <protection locked="true" hidden="false"/>
    </xf>
    <xf numFmtId="164" fontId="8" fillId="5" borderId="2" xfId="0" applyFont="true" applyBorder="true" applyAlignment="true" applyProtection="false">
      <alignment horizontal="left" vertical="center" textRotation="0" wrapText="true" indent="0" shrinkToFit="false"/>
      <protection locked="true" hidden="false"/>
    </xf>
    <xf numFmtId="164" fontId="8" fillId="5" borderId="3" xfId="0" applyFont="true" applyBorder="true" applyAlignment="true" applyProtection="false">
      <alignment horizontal="left" vertical="center" textRotation="0" wrapText="true" indent="1"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6" fontId="7" fillId="4" borderId="1" xfId="0" applyFont="true" applyBorder="true" applyAlignment="true" applyProtection="false">
      <alignment horizontal="right" vertical="center" textRotation="0" wrapText="true" indent="0" shrinkToFit="false"/>
      <protection locked="true" hidden="false"/>
    </xf>
    <xf numFmtId="165" fontId="7" fillId="4" borderId="1" xfId="0" applyFont="true" applyBorder="true" applyAlignment="true" applyProtection="false">
      <alignment horizontal="right" vertical="center" textRotation="0" wrapText="true" indent="0" shrinkToFit="false"/>
      <protection locked="true" hidden="false"/>
    </xf>
    <xf numFmtId="164" fontId="7" fillId="4" borderId="3" xfId="0" applyFont="true" applyBorder="true" applyAlignment="true" applyProtection="false">
      <alignment horizontal="left" vertical="center" textRotation="0" wrapText="true" indent="1" shrinkToFit="false"/>
      <protection locked="true" hidden="false"/>
    </xf>
    <xf numFmtId="167" fontId="7" fillId="4" borderId="1" xfId="0" applyFont="true" applyBorder="true" applyAlignment="true" applyProtection="false">
      <alignment horizontal="right" vertical="center" textRotation="0" wrapText="true" indent="0" shrinkToFit="false"/>
      <protection locked="true" hidden="false"/>
    </xf>
    <xf numFmtId="164" fontId="7" fillId="8" borderId="1" xfId="0" applyFont="true" applyBorder="true" applyAlignment="true" applyProtection="false">
      <alignment horizontal="left" vertical="center" textRotation="0" wrapText="true" indent="0" shrinkToFit="false"/>
      <protection locked="true" hidden="false"/>
    </xf>
    <xf numFmtId="166" fontId="7" fillId="8" borderId="1" xfId="0" applyFont="true" applyBorder="true" applyAlignment="true" applyProtection="false">
      <alignment horizontal="right" vertical="center" textRotation="0" wrapText="true" indent="0" shrinkToFit="false"/>
      <protection locked="true" hidden="false"/>
    </xf>
    <xf numFmtId="165" fontId="7" fillId="8" borderId="1" xfId="0" applyFont="true" applyBorder="true" applyAlignment="true" applyProtection="false">
      <alignment horizontal="right" vertical="center" textRotation="0" wrapText="true" indent="0" shrinkToFit="false"/>
      <protection locked="true" hidden="false"/>
    </xf>
    <xf numFmtId="164" fontId="7" fillId="8" borderId="3" xfId="0" applyFont="true" applyBorder="true" applyAlignment="true" applyProtection="false">
      <alignment horizontal="left" vertical="center" textRotation="0" wrapText="true" indent="1" shrinkToFit="false"/>
      <protection locked="true" hidden="false"/>
    </xf>
    <xf numFmtId="167" fontId="7" fillId="8" borderId="1" xfId="0" applyFont="true" applyBorder="true" applyAlignment="true" applyProtection="false">
      <alignment horizontal="right" vertical="center" textRotation="0" wrapText="true" indent="0" shrinkToFit="false"/>
      <protection locked="true" hidden="false"/>
    </xf>
    <xf numFmtId="164" fontId="12" fillId="13" borderId="0" xfId="0" applyFont="true" applyBorder="true" applyAlignment="true" applyProtection="false">
      <alignment horizontal="left" vertical="center" textRotation="0" wrapText="true" indent="0" shrinkToFit="false"/>
      <protection locked="true" hidden="false"/>
    </xf>
    <xf numFmtId="164" fontId="13" fillId="5" borderId="2" xfId="0" applyFont="true" applyBorder="true" applyAlignment="true" applyProtection="false">
      <alignment horizontal="left" vertical="center" textRotation="0" wrapText="true" indent="0" shrinkToFit="false"/>
      <protection locked="true" hidden="false"/>
    </xf>
    <xf numFmtId="168" fontId="7" fillId="4" borderId="1" xfId="0" applyFont="true" applyBorder="true" applyAlignment="true" applyProtection="false">
      <alignment horizontal="left" vertical="center" textRotation="0" wrapText="true" indent="0" shrinkToFit="false"/>
      <protection locked="true" hidden="false"/>
    </xf>
    <xf numFmtId="166" fontId="7" fillId="4" borderId="1" xfId="0" applyFont="true" applyBorder="true" applyAlignment="true" applyProtection="false">
      <alignment horizontal="left" vertical="center" textRotation="0" wrapText="true" indent="0" shrinkToFit="false"/>
      <protection locked="true" hidden="false"/>
    </xf>
    <xf numFmtId="168" fontId="7" fillId="8" borderId="1" xfId="0" applyFont="true" applyBorder="true" applyAlignment="true" applyProtection="false">
      <alignment horizontal="left" vertical="center" textRotation="0" wrapText="true" indent="0" shrinkToFit="false"/>
      <protection locked="true" hidden="false"/>
    </xf>
    <xf numFmtId="166" fontId="7" fillId="8" borderId="1" xfId="0" applyFont="true" applyBorder="true" applyAlignment="true" applyProtection="false">
      <alignment horizontal="left" vertical="center" textRotation="0" wrapText="true" indent="0" shrinkToFit="false"/>
      <protection locked="true" hidden="false"/>
    </xf>
    <xf numFmtId="164" fontId="8" fillId="5" borderId="2" xfId="0" applyFont="true" applyBorder="true" applyAlignment="true" applyProtection="false">
      <alignment horizontal="center" vertical="center" textRotation="0" wrapText="true" indent="0" shrinkToFit="false"/>
      <protection locked="true" hidden="false"/>
    </xf>
    <xf numFmtId="169" fontId="14" fillId="14" borderId="1" xfId="0" applyFont="true" applyBorder="true" applyAlignment="true" applyProtection="false">
      <alignment horizontal="right"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8" borderId="1" xfId="0" applyFont="true" applyBorder="true" applyAlignment="true" applyProtection="false">
      <alignment horizontal="center" vertical="center" textRotation="0" wrapText="false" indent="0" shrinkToFit="false"/>
      <protection locked="true" hidden="false"/>
    </xf>
    <xf numFmtId="164" fontId="8" fillId="2" borderId="4" xfId="0" applyFont="true" applyBorder="true" applyAlignment="true" applyProtection="false">
      <alignment horizontal="left" vertical="center" textRotation="0" wrapText="false" indent="0" shrinkToFit="false"/>
      <protection locked="true" hidden="false"/>
    </xf>
    <xf numFmtId="165" fontId="8" fillId="2" borderId="4" xfId="0" applyFont="true" applyBorder="true" applyAlignment="true" applyProtection="false">
      <alignment horizontal="right" vertical="center" textRotation="0" wrapText="false" indent="0" shrinkToFit="false"/>
      <protection locked="true" hidden="false"/>
    </xf>
    <xf numFmtId="166" fontId="0" fillId="7" borderId="5" xfId="0" applyFont="false" applyBorder="true" applyAlignment="true" applyProtection="false">
      <alignment horizontal="general" vertical="top" textRotation="0" wrapText="true" indent="0" shrinkToFit="false"/>
      <protection locked="true" hidden="false"/>
    </xf>
    <xf numFmtId="164" fontId="0" fillId="7" borderId="5" xfId="0" applyFont="false" applyBorder="true" applyAlignment="true" applyProtection="false">
      <alignment horizontal="general" vertical="top" textRotation="0" wrapText="true" indent="0" shrinkToFit="false"/>
      <protection locked="true" hidden="false"/>
    </xf>
    <xf numFmtId="166" fontId="0" fillId="15" borderId="5" xfId="0" applyFont="false" applyBorder="true" applyAlignment="true" applyProtection="false">
      <alignment horizontal="general" vertical="top" textRotation="0" wrapText="true" indent="0" shrinkToFit="false"/>
      <protection locked="true" hidden="false"/>
    </xf>
    <xf numFmtId="164" fontId="0" fillId="15" borderId="5" xfId="0" applyFont="fals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2F7C7A"/>
          <bgColor rgb="FF000000"/>
        </patternFill>
      </fill>
    </dxf>
    <dxf>
      <fill>
        <patternFill patternType="solid">
          <fgColor rgb="FFF4F7F8"/>
          <bgColor rgb="FF000000"/>
        </patternFill>
      </fill>
    </dxf>
    <dxf>
      <fill>
        <patternFill patternType="solid">
          <fgColor rgb="FFFAF9F6"/>
          <bgColor rgb="FF000000"/>
        </patternFill>
      </fill>
    </dxf>
    <dxf>
      <fill>
        <patternFill patternType="solid">
          <fgColor rgb="FF233B53"/>
          <bgColor rgb="FF000000"/>
        </patternFill>
      </fill>
    </dxf>
    <dxf>
      <fill>
        <patternFill patternType="solid">
          <fgColor rgb="FFFFFFFF"/>
          <bgColor rgb="FF000000"/>
        </patternFill>
      </fill>
    </dxf>
    <dxf>
      <fill>
        <patternFill>
          <bgColor rgb="FFFCE4D6"/>
        </patternFill>
      </fill>
    </dxf>
    <dxf>
      <fill>
        <patternFill>
          <bgColor rgb="FFFFF2CC"/>
        </patternFill>
      </fill>
    </dxf>
    <dxf>
      <fill>
        <patternFill>
          <bgColor rgb="FFE2F0D9"/>
        </patternFill>
      </fill>
    </dxf>
    <dxf>
      <fill>
        <patternFill patternType="solid">
          <fgColor rgb="FFF8FAFB"/>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AF9F6"/>
      <rgbColor rgb="FFFF00FF"/>
      <rgbColor rgb="FF00FFFF"/>
      <rgbColor rgb="FF800000"/>
      <rgbColor rgb="FF008000"/>
      <rgbColor rgb="FF000080"/>
      <rgbColor rgb="FF5B6770"/>
      <rgbColor rgb="FF800080"/>
      <rgbColor rgb="FF236B67"/>
      <rgbColor rgb="FFFCE4D6"/>
      <rgbColor rgb="FF5B8C70"/>
      <rgbColor rgb="FF9999FF"/>
      <rgbColor rgb="FF993366"/>
      <rgbColor rgb="FFFFF2CC"/>
      <rgbColor rgb="FFE2F3F1"/>
      <rgbColor rgb="FF660066"/>
      <rgbColor rgb="FFC18B45"/>
      <rgbColor rgb="FF0066CC"/>
      <rgbColor rgb="FFD6DEE5"/>
      <rgbColor rgb="FF000080"/>
      <rgbColor rgb="FFFF00FF"/>
      <rgbColor rgb="FFF4F7F8"/>
      <rgbColor rgb="FF00FFFF"/>
      <rgbColor rgb="FF800080"/>
      <rgbColor rgb="FF800000"/>
      <rgbColor rgb="FF008080"/>
      <rgbColor rgb="FF0000FF"/>
      <rgbColor rgb="FF00CCFF"/>
      <rgbColor rgb="FFDDEFE4"/>
      <rgbColor rgb="FFE2F0D9"/>
      <rgbColor rgb="FFFFF0CC"/>
      <rgbColor rgb="FFE8F3F2"/>
      <rgbColor rgb="FFEEF1F4"/>
      <rgbColor rgb="FFF7F5F0"/>
      <rgbColor rgb="FFF9DEDC"/>
      <rgbColor rgb="FF4F7195"/>
      <rgbColor rgb="FF33CCCC"/>
      <rgbColor rgb="FF99CC00"/>
      <rgbColor rgb="FFF8FAFB"/>
      <rgbColor rgb="FFFF9900"/>
      <rgbColor rgb="FFFF6600"/>
      <rgbColor rgb="FF586777"/>
      <rgbColor rgb="FF87939D"/>
      <rgbColor rgb="FF24415B"/>
      <rgbColor rgb="FF2F7C7A"/>
      <rgbColor rgb="FF003300"/>
      <rgbColor rgb="FF333300"/>
      <rgbColor rgb="FF993300"/>
      <rgbColor rgb="FF993366"/>
      <rgbColor rgb="FF333399"/>
      <rgbColor rgb="FF233B5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7939D"/>
    <pageSetUpPr fitToPage="true"/>
  </sheetPr>
  <dimension ref="A1:H25"/>
  <sheetViews>
    <sheetView showFormulas="false" showGridLines="false" showRowColHeaders="true" showZeros="true" rightToLeft="false" tabSelected="true" showOutlineSymbols="true" defaultGridColor="true" view="normal" topLeftCell="A1" colorId="64" zoomScale="95" zoomScaleNormal="95" zoomScalePageLayoutView="100" workbookViewId="0">
      <pane xSplit="0" ySplit="4" topLeftCell="A5" activePane="bottomLeft" state="frozen"/>
      <selection pane="topLeft" activeCell="A1" activeCellId="0" sqref="A1"/>
      <selection pane="bottomLeft" activeCell="C9" activeCellId="0" sqref="C9"/>
    </sheetView>
  </sheetViews>
  <sheetFormatPr defaultColWidth="8.59765625" defaultRowHeight="15" zeroHeight="false" outlineLevelRow="0" outlineLevelCol="0"/>
  <cols>
    <col collapsed="false" customWidth="true" hidden="false" outlineLevel="0" max="1" min="1" style="1" width="30"/>
    <col collapsed="false" customWidth="true" hidden="false" outlineLevel="0" max="2" min="2" style="1" width="4"/>
    <col collapsed="false" customWidth="true" hidden="false" outlineLevel="0" max="3" min="3" style="1" width="82"/>
    <col collapsed="false" customWidth="true" hidden="false" outlineLevel="0" max="6" min="4" style="1" width="4"/>
  </cols>
  <sheetData>
    <row r="1" customFormat="false" ht="45.75" hidden="false" customHeight="true" outlineLevel="0" collapsed="false">
      <c r="A1" s="2" t="s">
        <v>0</v>
      </c>
      <c r="B1" s="2"/>
      <c r="C1" s="2"/>
      <c r="D1" s="2"/>
      <c r="E1" s="2"/>
      <c r="F1" s="2"/>
      <c r="G1" s="3"/>
      <c r="H1" s="3"/>
    </row>
    <row r="2" customFormat="false" ht="33.75" hidden="false" customHeight="true" outlineLevel="0" collapsed="false">
      <c r="A2" s="4" t="s">
        <v>1</v>
      </c>
      <c r="B2" s="4"/>
      <c r="C2" s="4"/>
      <c r="D2" s="4"/>
      <c r="E2" s="4"/>
      <c r="F2" s="4"/>
      <c r="G2" s="3"/>
      <c r="H2" s="3"/>
    </row>
    <row r="3" customFormat="false" ht="9.75" hidden="false" customHeight="true" outlineLevel="0" collapsed="false">
      <c r="A3" s="5"/>
      <c r="B3" s="5"/>
      <c r="C3" s="5"/>
      <c r="D3" s="5"/>
      <c r="E3" s="5"/>
      <c r="F3" s="5"/>
      <c r="G3" s="3"/>
      <c r="H3" s="3"/>
    </row>
    <row r="4" customFormat="false" ht="37.5" hidden="false" customHeight="true" outlineLevel="0" collapsed="false">
      <c r="A4" s="6" t="s">
        <v>2</v>
      </c>
      <c r="B4" s="6"/>
      <c r="C4" s="6"/>
      <c r="D4" s="6"/>
      <c r="E4" s="6"/>
      <c r="F4" s="6"/>
      <c r="G4" s="3"/>
      <c r="H4" s="3"/>
    </row>
    <row r="5" customFormat="false" ht="33.75" hidden="false" customHeight="true" outlineLevel="0" collapsed="false">
      <c r="A5" s="7" t="s">
        <v>3</v>
      </c>
      <c r="B5" s="7"/>
      <c r="C5" s="7"/>
      <c r="D5" s="7"/>
      <c r="E5" s="7"/>
      <c r="F5" s="7"/>
      <c r="G5" s="3"/>
      <c r="H5" s="3"/>
    </row>
    <row r="6" customFormat="false" ht="43.5" hidden="false" customHeight="true" outlineLevel="0" collapsed="false">
      <c r="A6" s="8" t="s">
        <v>4</v>
      </c>
      <c r="B6" s="5"/>
      <c r="C6" s="9" t="s">
        <v>5</v>
      </c>
      <c r="D6" s="9"/>
      <c r="E6" s="9"/>
      <c r="F6" s="9"/>
      <c r="G6" s="3"/>
      <c r="H6" s="3"/>
    </row>
    <row r="7" customFormat="false" ht="43.5" hidden="false" customHeight="true" outlineLevel="0" collapsed="false">
      <c r="A7" s="8" t="s">
        <v>6</v>
      </c>
      <c r="B7" s="5"/>
      <c r="C7" s="10" t="s">
        <v>7</v>
      </c>
      <c r="D7" s="10"/>
      <c r="E7" s="10"/>
      <c r="F7" s="10"/>
      <c r="G7" s="3"/>
      <c r="H7" s="3"/>
    </row>
    <row r="8" customFormat="false" ht="43.5" hidden="false" customHeight="true" outlineLevel="0" collapsed="false">
      <c r="A8" s="8" t="s">
        <v>8</v>
      </c>
      <c r="B8" s="5"/>
      <c r="C8" s="9" t="s">
        <v>9</v>
      </c>
      <c r="D8" s="9"/>
      <c r="E8" s="9"/>
      <c r="F8" s="9"/>
      <c r="G8" s="3"/>
      <c r="H8" s="3"/>
    </row>
    <row r="9" customFormat="false" ht="43.5" hidden="false" customHeight="true" outlineLevel="0" collapsed="false">
      <c r="A9" s="8" t="s">
        <v>10</v>
      </c>
      <c r="B9" s="5"/>
      <c r="C9" s="10" t="s">
        <v>11</v>
      </c>
      <c r="D9" s="10"/>
      <c r="E9" s="10"/>
      <c r="F9" s="10"/>
      <c r="G9" s="3"/>
      <c r="H9" s="3"/>
    </row>
    <row r="10" customFormat="false" ht="36" hidden="false" customHeight="true" outlineLevel="0" collapsed="false">
      <c r="A10" s="8" t="s">
        <v>12</v>
      </c>
      <c r="B10" s="5"/>
      <c r="C10" s="9" t="s">
        <v>13</v>
      </c>
      <c r="D10" s="9"/>
      <c r="E10" s="9"/>
      <c r="F10" s="9"/>
      <c r="G10" s="3"/>
      <c r="H10" s="3"/>
    </row>
    <row r="11" customFormat="false" ht="43.5" hidden="false" customHeight="true" outlineLevel="0" collapsed="false">
      <c r="A11" s="8" t="s">
        <v>14</v>
      </c>
      <c r="B11" s="5"/>
      <c r="C11" s="10" t="s">
        <v>15</v>
      </c>
      <c r="D11" s="10"/>
      <c r="E11" s="10"/>
      <c r="F11" s="10"/>
      <c r="G11" s="3"/>
      <c r="H11" s="3"/>
    </row>
    <row r="12" customFormat="false" ht="48" hidden="false" customHeight="true" outlineLevel="0" collapsed="false">
      <c r="A12" s="5"/>
      <c r="B12" s="5"/>
      <c r="C12" s="5"/>
      <c r="D12" s="5"/>
      <c r="E12" s="5"/>
      <c r="F12" s="5"/>
      <c r="G12" s="3"/>
      <c r="H12" s="3"/>
    </row>
    <row r="13" customFormat="false" ht="33.75" hidden="false" customHeight="true" outlineLevel="0" collapsed="false">
      <c r="A13" s="7" t="s">
        <v>16</v>
      </c>
      <c r="B13" s="7"/>
      <c r="C13" s="7"/>
      <c r="D13" s="7"/>
      <c r="E13" s="7"/>
      <c r="F13" s="7"/>
      <c r="G13" s="3"/>
      <c r="H13" s="3"/>
    </row>
    <row r="14" customFormat="false" ht="36" hidden="false" customHeight="true" outlineLevel="0" collapsed="false">
      <c r="A14" s="11" t="s">
        <v>17</v>
      </c>
      <c r="B14" s="11"/>
      <c r="C14" s="11"/>
      <c r="D14" s="11"/>
      <c r="E14" s="11"/>
      <c r="F14" s="11"/>
      <c r="G14" s="3"/>
      <c r="H14" s="3"/>
    </row>
    <row r="15" customFormat="false" ht="30" hidden="false" customHeight="true" outlineLevel="0" collapsed="false">
      <c r="A15" s="11"/>
      <c r="B15" s="11"/>
      <c r="C15" s="11"/>
      <c r="D15" s="11"/>
      <c r="E15" s="11"/>
      <c r="F15" s="11"/>
      <c r="G15" s="3"/>
      <c r="H15" s="3"/>
    </row>
    <row r="16" customFormat="false" ht="21.75" hidden="false" customHeight="true" outlineLevel="0" collapsed="false">
      <c r="A16" s="5"/>
      <c r="B16" s="5"/>
      <c r="C16" s="5"/>
      <c r="D16" s="5"/>
      <c r="E16" s="5"/>
      <c r="F16" s="5"/>
      <c r="G16" s="3"/>
      <c r="H16" s="3"/>
    </row>
    <row r="17" customFormat="false" ht="33.75" hidden="false" customHeight="true" outlineLevel="0" collapsed="false">
      <c r="A17" s="12" t="s">
        <v>18</v>
      </c>
      <c r="B17" s="12"/>
      <c r="C17" s="12"/>
      <c r="D17" s="12"/>
      <c r="E17" s="12"/>
      <c r="F17" s="12"/>
      <c r="G17" s="3"/>
      <c r="H17" s="3"/>
    </row>
    <row r="18" customFormat="false" ht="54" hidden="false" customHeight="true" outlineLevel="0" collapsed="false">
      <c r="A18" s="13" t="s">
        <v>19</v>
      </c>
      <c r="B18" s="13"/>
      <c r="C18" s="13"/>
      <c r="D18" s="13"/>
      <c r="E18" s="13"/>
      <c r="F18" s="13"/>
      <c r="G18" s="3"/>
      <c r="H18" s="3"/>
    </row>
    <row r="19" customFormat="false" ht="30" hidden="false" customHeight="true" outlineLevel="0" collapsed="false">
      <c r="A19" s="13"/>
      <c r="B19" s="13"/>
      <c r="C19" s="13"/>
      <c r="D19" s="13"/>
      <c r="E19" s="13"/>
      <c r="F19" s="13"/>
      <c r="G19" s="3"/>
      <c r="H19" s="3"/>
    </row>
    <row r="20" customFormat="false" ht="21.75" hidden="false" customHeight="true" outlineLevel="0" collapsed="false">
      <c r="A20" s="5"/>
      <c r="B20" s="5"/>
      <c r="C20" s="5"/>
      <c r="D20" s="5"/>
      <c r="E20" s="5"/>
      <c r="F20" s="5"/>
      <c r="G20" s="3"/>
      <c r="H20" s="3"/>
    </row>
    <row r="21" customFormat="false" ht="21.75" hidden="false" customHeight="true" outlineLevel="0" collapsed="false">
      <c r="A21" s="5"/>
      <c r="B21" s="5"/>
      <c r="C21" s="5"/>
      <c r="D21" s="5"/>
      <c r="E21" s="5"/>
      <c r="F21" s="5"/>
      <c r="G21" s="3"/>
      <c r="H21" s="3"/>
    </row>
    <row r="22" customFormat="false" ht="21.75" hidden="false" customHeight="true" outlineLevel="0" collapsed="false">
      <c r="A22" s="5"/>
      <c r="B22" s="5"/>
      <c r="C22" s="5"/>
      <c r="D22" s="5"/>
      <c r="E22" s="5"/>
      <c r="F22" s="5"/>
      <c r="G22" s="3"/>
      <c r="H22" s="3"/>
    </row>
    <row r="23" customFormat="false" ht="21.75" hidden="false" customHeight="true" outlineLevel="0" collapsed="false">
      <c r="A23" s="3"/>
      <c r="B23" s="3"/>
      <c r="C23" s="3"/>
      <c r="D23" s="3"/>
      <c r="E23" s="3"/>
      <c r="F23" s="3"/>
      <c r="G23" s="3"/>
      <c r="H23" s="3"/>
    </row>
    <row r="24" customFormat="false" ht="21.75" hidden="false" customHeight="true" outlineLevel="0" collapsed="false">
      <c r="A24" s="3"/>
      <c r="B24" s="3"/>
      <c r="C24" s="3"/>
      <c r="D24" s="3"/>
      <c r="E24" s="3"/>
      <c r="F24" s="3"/>
      <c r="G24" s="3"/>
      <c r="H24" s="3"/>
    </row>
    <row r="25" customFormat="false" ht="21.75" hidden="false" customHeight="true" outlineLevel="0" collapsed="false">
      <c r="A25" s="3"/>
      <c r="B25" s="3"/>
      <c r="C25" s="3"/>
      <c r="D25" s="3"/>
      <c r="E25" s="3"/>
      <c r="F25" s="3"/>
      <c r="G25" s="3"/>
      <c r="H25" s="3"/>
    </row>
  </sheetData>
  <mergeCells count="14">
    <mergeCell ref="A1:F1"/>
    <mergeCell ref="A2:F2"/>
    <mergeCell ref="A4:F4"/>
    <mergeCell ref="A5:F5"/>
    <mergeCell ref="C6:F6"/>
    <mergeCell ref="C7:F7"/>
    <mergeCell ref="C8:F8"/>
    <mergeCell ref="C9:F9"/>
    <mergeCell ref="C10:F10"/>
    <mergeCell ref="C11:F11"/>
    <mergeCell ref="A13:F13"/>
    <mergeCell ref="A14:F15"/>
    <mergeCell ref="A17:F17"/>
    <mergeCell ref="A18:F19"/>
  </mergeCells>
  <printOptions headings="false" gridLines="false" gridLinesSet="true" horizontalCentered="false" verticalCentered="false"/>
  <pageMargins left="0.35" right="0.35" top="0.4" bottom="0.4"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33B53"/>
    <pageSetUpPr fitToPage="true"/>
  </sheetPr>
  <dimension ref="A1:F18"/>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1" width="31"/>
    <col collapsed="false" customWidth="true" hidden="false" outlineLevel="0" max="2" min="2" style="1" width="25"/>
    <col collapsed="false" customWidth="true" hidden="false" outlineLevel="0" max="3" min="3" style="1" width="4"/>
    <col collapsed="false" customWidth="true" hidden="false" outlineLevel="0" max="4" min="4" style="1" width="31"/>
    <col collapsed="false" customWidth="true" hidden="false" outlineLevel="0" max="5" min="5" style="1" width="19"/>
    <col collapsed="false" customWidth="true" hidden="false" outlineLevel="0" max="6" min="6" style="1" width="4"/>
  </cols>
  <sheetData>
    <row r="1" customFormat="false" ht="42" hidden="false" customHeight="true" outlineLevel="0" collapsed="false">
      <c r="A1" s="2" t="s">
        <v>20</v>
      </c>
      <c r="B1" s="2"/>
      <c r="C1" s="2"/>
      <c r="D1" s="2"/>
      <c r="E1" s="2"/>
      <c r="F1" s="2"/>
    </row>
    <row r="2" customFormat="false" ht="31.5" hidden="false" customHeight="true" outlineLevel="0" collapsed="false">
      <c r="A2" s="4" t="s">
        <v>21</v>
      </c>
      <c r="B2" s="4"/>
      <c r="C2" s="4"/>
      <c r="D2" s="4"/>
      <c r="E2" s="4"/>
      <c r="F2" s="4"/>
    </row>
    <row r="3" customFormat="false" ht="12" hidden="false" customHeight="true" outlineLevel="0" collapsed="false">
      <c r="A3" s="5"/>
      <c r="B3" s="5"/>
      <c r="C3" s="5"/>
      <c r="D3" s="5"/>
      <c r="E3" s="5"/>
      <c r="F3" s="5"/>
    </row>
    <row r="4" customFormat="false" ht="30" hidden="false" customHeight="true" outlineLevel="0" collapsed="false">
      <c r="A4" s="14" t="s">
        <v>22</v>
      </c>
      <c r="B4" s="14"/>
      <c r="C4" s="14"/>
      <c r="D4" s="14" t="s">
        <v>23</v>
      </c>
      <c r="E4" s="14"/>
      <c r="F4" s="14"/>
    </row>
    <row r="5" customFormat="false" ht="33.75" hidden="false" customHeight="true" outlineLevel="0" collapsed="false">
      <c r="A5" s="8" t="s">
        <v>24</v>
      </c>
      <c r="B5" s="9" t="s">
        <v>25</v>
      </c>
      <c r="C5" s="5"/>
      <c r="D5" s="8" t="s">
        <v>26</v>
      </c>
      <c r="E5" s="15" t="n">
        <f aca="false">Budget!C18</f>
        <v>0</v>
      </c>
      <c r="F5" s="5"/>
    </row>
    <row r="6" customFormat="false" ht="33.75" hidden="false" customHeight="true" outlineLevel="0" collapsed="false">
      <c r="A6" s="8" t="s">
        <v>27</v>
      </c>
      <c r="B6" s="9" t="s">
        <v>25</v>
      </c>
      <c r="C6" s="5"/>
      <c r="D6" s="8" t="s">
        <v>28</v>
      </c>
      <c r="E6" s="15" t="n">
        <f aca="false">Budget!D18</f>
        <v>0</v>
      </c>
      <c r="F6" s="5"/>
    </row>
    <row r="7" customFormat="false" ht="33.75" hidden="false" customHeight="true" outlineLevel="0" collapsed="false">
      <c r="A7" s="8" t="s">
        <v>29</v>
      </c>
      <c r="B7" s="16"/>
      <c r="C7" s="5"/>
      <c r="D7" s="8" t="s">
        <v>30</v>
      </c>
      <c r="E7" s="17" t="n">
        <f aca="false">COUNTIF('Task Tracker'!D5:D54,"&lt;&gt;Complete")-COUNTBLANK('Task Tracker'!A5:A54)</f>
        <v>10</v>
      </c>
      <c r="F7" s="5"/>
    </row>
    <row r="8" customFormat="false" ht="33.75" hidden="false" customHeight="true" outlineLevel="0" collapsed="false">
      <c r="A8" s="8" t="s">
        <v>31</v>
      </c>
      <c r="B8" s="16"/>
      <c r="C8" s="5"/>
      <c r="D8" s="8" t="s">
        <v>32</v>
      </c>
      <c r="E8" s="17" t="n">
        <f aca="true">COUNTIFS('Task Tracker'!D5:D54,"&lt;&gt;Complete",'Task Tracker'!C5:C54,"&lt;"&amp;TODAY(),'Task Tracker'!C5:C54,"&gt;0",'Task Tracker'!A5:A54,"&lt;&gt;")</f>
        <v>0</v>
      </c>
      <c r="F8" s="5"/>
    </row>
    <row r="9" customFormat="false" ht="33.75" hidden="false" customHeight="true" outlineLevel="0" collapsed="false">
      <c r="A9" s="5"/>
      <c r="B9" s="5"/>
      <c r="C9" s="5"/>
      <c r="D9" s="8" t="s">
        <v>33</v>
      </c>
      <c r="E9" s="17" t="n">
        <f aca="false">COUNTIF('Task Tracker'!D5:D54,"Complete")</f>
        <v>0</v>
      </c>
      <c r="F9" s="5"/>
    </row>
    <row r="10" customFormat="false" ht="33.75" hidden="false" customHeight="true" outlineLevel="0" collapsed="false">
      <c r="A10" s="5"/>
      <c r="B10" s="5"/>
      <c r="C10" s="5"/>
      <c r="D10" s="8" t="s">
        <v>34</v>
      </c>
      <c r="E10" s="17" t="n">
        <f aca="false">COUNTIFS(Contingencies!G5:G24,"&lt;&gt;Yes",Contingencies!A5:A24,"&lt;&gt;")</f>
        <v>0</v>
      </c>
      <c r="F10" s="5"/>
    </row>
    <row r="11" customFormat="false" ht="30" hidden="false" customHeight="true" outlineLevel="0" collapsed="false">
      <c r="A11" s="18" t="s">
        <v>35</v>
      </c>
      <c r="B11" s="18"/>
      <c r="C11" s="18"/>
      <c r="D11" s="18"/>
      <c r="E11" s="18"/>
      <c r="F11" s="18"/>
    </row>
    <row r="12" customFormat="false" ht="55.5" hidden="false" customHeight="true" outlineLevel="0" collapsed="false">
      <c r="A12" s="5" t="s">
        <v>36</v>
      </c>
      <c r="B12" s="5"/>
      <c r="C12" s="5"/>
      <c r="D12" s="5"/>
      <c r="E12" s="5"/>
      <c r="F12" s="5"/>
    </row>
    <row r="13" customFormat="false" ht="9.75" hidden="false" customHeight="true" outlineLevel="0" collapsed="false">
      <c r="A13" s="5"/>
      <c r="B13" s="5"/>
      <c r="C13" s="5"/>
      <c r="D13" s="5"/>
      <c r="E13" s="5"/>
      <c r="F13" s="5"/>
    </row>
    <row r="14" customFormat="false" ht="9.75" hidden="false" customHeight="true" outlineLevel="0" collapsed="false">
      <c r="A14" s="5"/>
      <c r="B14" s="5"/>
      <c r="C14" s="5"/>
      <c r="D14" s="5"/>
      <c r="E14" s="5"/>
      <c r="F14" s="5"/>
    </row>
    <row r="15" customFormat="false" ht="30" hidden="false" customHeight="true" outlineLevel="0" collapsed="false">
      <c r="A15" s="14" t="s">
        <v>37</v>
      </c>
      <c r="B15" s="14"/>
      <c r="C15" s="14"/>
      <c r="D15" s="14"/>
      <c r="E15" s="14"/>
      <c r="F15" s="14"/>
    </row>
    <row r="16" customFormat="false" ht="27.75" hidden="false" customHeight="true" outlineLevel="0" collapsed="false">
      <c r="A16" s="19" t="s">
        <v>38</v>
      </c>
      <c r="B16" s="19"/>
      <c r="C16" s="19"/>
      <c r="D16" s="19"/>
      <c r="E16" s="19"/>
      <c r="F16" s="19"/>
    </row>
    <row r="17" customFormat="false" ht="27.75" hidden="false" customHeight="true" outlineLevel="0" collapsed="false">
      <c r="A17" s="20" t="s">
        <v>39</v>
      </c>
      <c r="B17" s="20"/>
      <c r="C17" s="20"/>
      <c r="D17" s="20"/>
      <c r="E17" s="20"/>
      <c r="F17" s="20"/>
    </row>
    <row r="18" customFormat="false" ht="27.75" hidden="false" customHeight="true" outlineLevel="0" collapsed="false">
      <c r="A18" s="21" t="s">
        <v>40</v>
      </c>
      <c r="B18" s="21"/>
      <c r="C18" s="21"/>
      <c r="D18" s="21"/>
      <c r="E18" s="21"/>
      <c r="F18" s="21"/>
    </row>
  </sheetData>
  <mergeCells count="10">
    <mergeCell ref="A1:F1"/>
    <mergeCell ref="A2:F2"/>
    <mergeCell ref="A4:C4"/>
    <mergeCell ref="D4:F4"/>
    <mergeCell ref="A11:F11"/>
    <mergeCell ref="A12:F13"/>
    <mergeCell ref="A15:F15"/>
    <mergeCell ref="A16:C16"/>
    <mergeCell ref="A17:F17"/>
    <mergeCell ref="A18:F18"/>
  </mergeCells>
  <dataValidations count="1">
    <dataValidation allowBlank="true" error="Enter a valid date between Jan 1, 2000 and Dec 31, 2100." errorStyle="stop" errorTitle="Check the date" operator="between" prompt="Type a valid date, for example Oct 11, 2026." promptTitle="Enter a date" showDropDown="false" showErrorMessage="true" showInputMessage="true" sqref="B7:B8" type="date">
      <formula1>DATE(2000,1,1)</formula1>
      <formula2>DATE(2100,12,31)</formula2>
    </dataValidation>
  </dataValidations>
  <printOptions headings="false" gridLines="false" gridLinesSet="true" horizontalCentered="false" verticalCentered="false"/>
  <pageMargins left="0.3" right="0.3" top="0.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C7A"/>
    <pageSetUpPr fitToPage="true"/>
  </sheetPr>
  <dimension ref="A1:G54"/>
  <sheetViews>
    <sheetView showFormulas="false" showGridLines="false" showRowColHeaders="true" showZeros="true" rightToLeft="false" tabSelected="false" showOutlineSymbols="true" defaultGridColor="true" view="normal" topLeftCell="A1" colorId="64" zoomScale="95" zoomScaleNormal="95"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1" width="40.51"/>
    <col collapsed="false" customWidth="true" hidden="false" outlineLevel="0" max="2" min="2" style="1" width="17"/>
    <col collapsed="false" customWidth="true" hidden="false" outlineLevel="0" max="3" min="3" style="1" width="16"/>
    <col collapsed="false" customWidth="true" hidden="false" outlineLevel="0" max="4" min="4" style="1" width="18"/>
    <col collapsed="false" customWidth="true" hidden="false" outlineLevel="0" max="5" min="5" style="1" width="22"/>
    <col collapsed="false" customWidth="true" hidden="false" outlineLevel="0" max="6" min="6" style="1" width="50"/>
    <col collapsed="false" customWidth="true" hidden="false" outlineLevel="0" max="7" min="7" style="1" width="17"/>
  </cols>
  <sheetData>
    <row r="1" customFormat="false" ht="42" hidden="false" customHeight="true" outlineLevel="0" collapsed="false">
      <c r="A1" s="22" t="s">
        <v>41</v>
      </c>
      <c r="B1" s="22"/>
      <c r="C1" s="22"/>
      <c r="D1" s="22"/>
      <c r="E1" s="22"/>
      <c r="F1" s="22"/>
      <c r="G1" s="22"/>
    </row>
    <row r="2" customFormat="false" ht="31.5" hidden="false" customHeight="true" outlineLevel="0" collapsed="false">
      <c r="A2" s="23" t="s">
        <v>42</v>
      </c>
      <c r="B2" s="23"/>
      <c r="C2" s="23"/>
      <c r="D2" s="23"/>
      <c r="E2" s="23"/>
      <c r="F2" s="23"/>
      <c r="G2" s="23"/>
    </row>
    <row r="3" customFormat="false" ht="12" hidden="false" customHeight="true" outlineLevel="0" collapsed="false"/>
    <row r="4" customFormat="false" ht="42" hidden="false" customHeight="true" outlineLevel="0" collapsed="false">
      <c r="A4" s="24" t="s">
        <v>43</v>
      </c>
      <c r="B4" s="24" t="s">
        <v>44</v>
      </c>
      <c r="C4" s="24" t="s">
        <v>45</v>
      </c>
      <c r="D4" s="24" t="s">
        <v>46</v>
      </c>
      <c r="E4" s="24" t="s">
        <v>47</v>
      </c>
      <c r="F4" s="25" t="s">
        <v>48</v>
      </c>
      <c r="G4" s="24" t="s">
        <v>49</v>
      </c>
    </row>
    <row r="5" customFormat="false" ht="33.75" hidden="false" customHeight="true" outlineLevel="0" collapsed="false">
      <c r="A5" s="26" t="s">
        <v>50</v>
      </c>
      <c r="B5" s="26" t="s">
        <v>51</v>
      </c>
      <c r="C5" s="27"/>
      <c r="D5" s="26" t="s">
        <v>52</v>
      </c>
      <c r="E5" s="28"/>
      <c r="F5" s="29" t="s">
        <v>53</v>
      </c>
      <c r="G5" s="30" t="str">
        <f aca="true">IF(C5="","",C5-TODAY())</f>
        <v/>
      </c>
    </row>
    <row r="6" customFormat="false" ht="33.75" hidden="false" customHeight="true" outlineLevel="0" collapsed="false">
      <c r="A6" s="31" t="s">
        <v>54</v>
      </c>
      <c r="B6" s="31" t="s">
        <v>55</v>
      </c>
      <c r="C6" s="32"/>
      <c r="D6" s="31" t="s">
        <v>52</v>
      </c>
      <c r="E6" s="33"/>
      <c r="F6" s="34" t="s">
        <v>56</v>
      </c>
      <c r="G6" s="35" t="str">
        <f aca="true">IF(C6="","",C6-TODAY())</f>
        <v/>
      </c>
    </row>
    <row r="7" customFormat="false" ht="33.75" hidden="false" customHeight="true" outlineLevel="0" collapsed="false">
      <c r="A7" s="26" t="s">
        <v>57</v>
      </c>
      <c r="B7" s="26" t="s">
        <v>58</v>
      </c>
      <c r="C7" s="27"/>
      <c r="D7" s="26" t="s">
        <v>52</v>
      </c>
      <c r="E7" s="28"/>
      <c r="F7" s="29" t="s">
        <v>59</v>
      </c>
      <c r="G7" s="30" t="str">
        <f aca="true">IF(C7="","",C7-TODAY())</f>
        <v/>
      </c>
    </row>
    <row r="8" customFormat="false" ht="33.75" hidden="false" customHeight="true" outlineLevel="0" collapsed="false">
      <c r="A8" s="31" t="s">
        <v>60</v>
      </c>
      <c r="B8" s="31" t="s">
        <v>55</v>
      </c>
      <c r="C8" s="32"/>
      <c r="D8" s="31" t="s">
        <v>52</v>
      </c>
      <c r="E8" s="33"/>
      <c r="F8" s="34" t="s">
        <v>61</v>
      </c>
      <c r="G8" s="35" t="str">
        <f aca="true">IF(C8="","",C8-TODAY())</f>
        <v/>
      </c>
    </row>
    <row r="9" customFormat="false" ht="33.75" hidden="false" customHeight="true" outlineLevel="0" collapsed="false">
      <c r="A9" s="26" t="s">
        <v>62</v>
      </c>
      <c r="B9" s="26" t="s">
        <v>27</v>
      </c>
      <c r="C9" s="27"/>
      <c r="D9" s="26" t="s">
        <v>52</v>
      </c>
      <c r="E9" s="28"/>
      <c r="F9" s="29" t="s">
        <v>63</v>
      </c>
      <c r="G9" s="30" t="str">
        <f aca="true">IF(C9="","",C9-TODAY())</f>
        <v/>
      </c>
    </row>
    <row r="10" customFormat="false" ht="33.75" hidden="false" customHeight="true" outlineLevel="0" collapsed="false">
      <c r="A10" s="31" t="s">
        <v>64</v>
      </c>
      <c r="B10" s="31" t="s">
        <v>65</v>
      </c>
      <c r="C10" s="32"/>
      <c r="D10" s="31" t="s">
        <v>52</v>
      </c>
      <c r="E10" s="33"/>
      <c r="F10" s="34" t="s">
        <v>66</v>
      </c>
      <c r="G10" s="35" t="str">
        <f aca="true">IF(C10="","",C10-TODAY())</f>
        <v/>
      </c>
    </row>
    <row r="11" customFormat="false" ht="33.75" hidden="false" customHeight="true" outlineLevel="0" collapsed="false">
      <c r="A11" s="26" t="s">
        <v>67</v>
      </c>
      <c r="B11" s="26" t="s">
        <v>68</v>
      </c>
      <c r="C11" s="27"/>
      <c r="D11" s="26" t="s">
        <v>52</v>
      </c>
      <c r="E11" s="28"/>
      <c r="F11" s="29" t="s">
        <v>69</v>
      </c>
      <c r="G11" s="30" t="str">
        <f aca="true">IF(C11="","",C11-TODAY())</f>
        <v/>
      </c>
    </row>
    <row r="12" customFormat="false" ht="33.75" hidden="false" customHeight="true" outlineLevel="0" collapsed="false">
      <c r="A12" s="31" t="s">
        <v>70</v>
      </c>
      <c r="B12" s="31" t="s">
        <v>71</v>
      </c>
      <c r="C12" s="32"/>
      <c r="D12" s="31" t="s">
        <v>52</v>
      </c>
      <c r="E12" s="33"/>
      <c r="F12" s="34" t="s">
        <v>72</v>
      </c>
      <c r="G12" s="35" t="str">
        <f aca="true">IF(C12="","",C12-TODAY())</f>
        <v/>
      </c>
    </row>
    <row r="13" customFormat="false" ht="33.75" hidden="false" customHeight="true" outlineLevel="0" collapsed="false">
      <c r="A13" s="26" t="s">
        <v>73</v>
      </c>
      <c r="B13" s="26" t="s">
        <v>74</v>
      </c>
      <c r="C13" s="27"/>
      <c r="D13" s="26" t="s">
        <v>52</v>
      </c>
      <c r="E13" s="28"/>
      <c r="F13" s="29" t="s">
        <v>75</v>
      </c>
      <c r="G13" s="30" t="str">
        <f aca="true">IF(C13="","",C13-TODAY())</f>
        <v/>
      </c>
    </row>
    <row r="14" customFormat="false" ht="33.75" hidden="false" customHeight="true" outlineLevel="0" collapsed="false">
      <c r="A14" s="31" t="s">
        <v>76</v>
      </c>
      <c r="B14" s="31" t="s">
        <v>77</v>
      </c>
      <c r="C14" s="32"/>
      <c r="D14" s="31" t="s">
        <v>52</v>
      </c>
      <c r="E14" s="33"/>
      <c r="F14" s="34" t="s">
        <v>78</v>
      </c>
      <c r="G14" s="35" t="str">
        <f aca="true">IF(C14="","",C14-TODAY())</f>
        <v/>
      </c>
    </row>
    <row r="15" customFormat="false" ht="33.75" hidden="false" customHeight="true" outlineLevel="0" collapsed="false">
      <c r="A15" s="26"/>
      <c r="B15" s="26"/>
      <c r="C15" s="27"/>
      <c r="D15" s="26"/>
      <c r="E15" s="28"/>
      <c r="F15" s="29"/>
      <c r="G15" s="30" t="str">
        <f aca="true">IF(C15="","",C15-TODAY())</f>
        <v/>
      </c>
    </row>
    <row r="16" customFormat="false" ht="33.75" hidden="false" customHeight="true" outlineLevel="0" collapsed="false">
      <c r="A16" s="31"/>
      <c r="B16" s="31"/>
      <c r="C16" s="32"/>
      <c r="D16" s="31"/>
      <c r="E16" s="33"/>
      <c r="F16" s="34"/>
      <c r="G16" s="35" t="str">
        <f aca="true">IF(C16="","",C16-TODAY())</f>
        <v/>
      </c>
    </row>
    <row r="17" customFormat="false" ht="33.75" hidden="false" customHeight="true" outlineLevel="0" collapsed="false">
      <c r="A17" s="26"/>
      <c r="B17" s="26"/>
      <c r="C17" s="27"/>
      <c r="D17" s="26"/>
      <c r="E17" s="28"/>
      <c r="F17" s="29"/>
      <c r="G17" s="30" t="str">
        <f aca="true">IF(C17="","",C17-TODAY())</f>
        <v/>
      </c>
    </row>
    <row r="18" customFormat="false" ht="33.75" hidden="false" customHeight="true" outlineLevel="0" collapsed="false">
      <c r="A18" s="31"/>
      <c r="B18" s="31"/>
      <c r="C18" s="32"/>
      <c r="D18" s="31"/>
      <c r="E18" s="33"/>
      <c r="F18" s="34"/>
      <c r="G18" s="35" t="str">
        <f aca="true">IF(C18="","",C18-TODAY())</f>
        <v/>
      </c>
    </row>
    <row r="19" customFormat="false" ht="33.75" hidden="false" customHeight="true" outlineLevel="0" collapsed="false">
      <c r="A19" s="26"/>
      <c r="B19" s="26"/>
      <c r="C19" s="27"/>
      <c r="D19" s="26"/>
      <c r="E19" s="28"/>
      <c r="F19" s="29"/>
      <c r="G19" s="30" t="str">
        <f aca="true">IF(C19="","",C19-TODAY())</f>
        <v/>
      </c>
    </row>
    <row r="20" customFormat="false" ht="33.75" hidden="false" customHeight="true" outlineLevel="0" collapsed="false">
      <c r="A20" s="31"/>
      <c r="B20" s="31"/>
      <c r="C20" s="32"/>
      <c r="D20" s="31"/>
      <c r="E20" s="33"/>
      <c r="F20" s="34"/>
      <c r="G20" s="35" t="str">
        <f aca="true">IF(C20="","",C20-TODAY())</f>
        <v/>
      </c>
    </row>
    <row r="21" customFormat="false" ht="33.75" hidden="false" customHeight="true" outlineLevel="0" collapsed="false">
      <c r="A21" s="26"/>
      <c r="B21" s="26"/>
      <c r="C21" s="27"/>
      <c r="D21" s="26"/>
      <c r="E21" s="28"/>
      <c r="F21" s="29"/>
      <c r="G21" s="30" t="str">
        <f aca="true">IF(C21="","",C21-TODAY())</f>
        <v/>
      </c>
    </row>
    <row r="22" customFormat="false" ht="33.75" hidden="false" customHeight="true" outlineLevel="0" collapsed="false">
      <c r="A22" s="31"/>
      <c r="B22" s="31"/>
      <c r="C22" s="32"/>
      <c r="D22" s="31"/>
      <c r="E22" s="33"/>
      <c r="F22" s="34"/>
      <c r="G22" s="35" t="str">
        <f aca="true">IF(C22="","",C22-TODAY())</f>
        <v/>
      </c>
    </row>
    <row r="23" customFormat="false" ht="33.75" hidden="false" customHeight="true" outlineLevel="0" collapsed="false">
      <c r="A23" s="26"/>
      <c r="B23" s="26"/>
      <c r="C23" s="27"/>
      <c r="D23" s="26"/>
      <c r="E23" s="28"/>
      <c r="F23" s="29"/>
      <c r="G23" s="30" t="str">
        <f aca="true">IF(C23="","",C23-TODAY())</f>
        <v/>
      </c>
    </row>
    <row r="24" customFormat="false" ht="33.75" hidden="false" customHeight="true" outlineLevel="0" collapsed="false">
      <c r="A24" s="31"/>
      <c r="B24" s="31"/>
      <c r="C24" s="32"/>
      <c r="D24" s="31"/>
      <c r="E24" s="33"/>
      <c r="F24" s="34"/>
      <c r="G24" s="35" t="str">
        <f aca="true">IF(C24="","",C24-TODAY())</f>
        <v/>
      </c>
    </row>
    <row r="25" customFormat="false" ht="33.75" hidden="false" customHeight="true" outlineLevel="0" collapsed="false">
      <c r="A25" s="26"/>
      <c r="B25" s="26"/>
      <c r="C25" s="27"/>
      <c r="D25" s="26"/>
      <c r="E25" s="28"/>
      <c r="F25" s="29"/>
      <c r="G25" s="30" t="str">
        <f aca="true">IF(C25="","",C25-TODAY())</f>
        <v/>
      </c>
    </row>
    <row r="26" customFormat="false" ht="33.75" hidden="false" customHeight="true" outlineLevel="0" collapsed="false">
      <c r="A26" s="31"/>
      <c r="B26" s="31"/>
      <c r="C26" s="32"/>
      <c r="D26" s="31"/>
      <c r="E26" s="33"/>
      <c r="F26" s="34"/>
      <c r="G26" s="35" t="str">
        <f aca="true">IF(C26="","",C26-TODAY())</f>
        <v/>
      </c>
    </row>
    <row r="27" customFormat="false" ht="33.75" hidden="false" customHeight="true" outlineLevel="0" collapsed="false">
      <c r="A27" s="26"/>
      <c r="B27" s="26"/>
      <c r="C27" s="27"/>
      <c r="D27" s="26"/>
      <c r="E27" s="28"/>
      <c r="F27" s="29"/>
      <c r="G27" s="30" t="str">
        <f aca="true">IF(C27="","",C27-TODAY())</f>
        <v/>
      </c>
    </row>
    <row r="28" customFormat="false" ht="33.75" hidden="false" customHeight="true" outlineLevel="0" collapsed="false">
      <c r="A28" s="31"/>
      <c r="B28" s="31"/>
      <c r="C28" s="32"/>
      <c r="D28" s="31"/>
      <c r="E28" s="33"/>
      <c r="F28" s="34"/>
      <c r="G28" s="35" t="str">
        <f aca="true">IF(C28="","",C28-TODAY())</f>
        <v/>
      </c>
    </row>
    <row r="29" customFormat="false" ht="33.75" hidden="false" customHeight="true" outlineLevel="0" collapsed="false">
      <c r="A29" s="26"/>
      <c r="B29" s="26"/>
      <c r="C29" s="27"/>
      <c r="D29" s="26"/>
      <c r="E29" s="28"/>
      <c r="F29" s="29"/>
      <c r="G29" s="30" t="str">
        <f aca="true">IF(C29="","",C29-TODAY())</f>
        <v/>
      </c>
    </row>
    <row r="30" customFormat="false" ht="33.75" hidden="false" customHeight="true" outlineLevel="0" collapsed="false">
      <c r="A30" s="31"/>
      <c r="B30" s="31"/>
      <c r="C30" s="32"/>
      <c r="D30" s="31"/>
      <c r="E30" s="33"/>
      <c r="F30" s="34"/>
      <c r="G30" s="35" t="str">
        <f aca="true">IF(C30="","",C30-TODAY())</f>
        <v/>
      </c>
    </row>
    <row r="31" customFormat="false" ht="33.75" hidden="false" customHeight="true" outlineLevel="0" collapsed="false">
      <c r="A31" s="26"/>
      <c r="B31" s="26"/>
      <c r="C31" s="27"/>
      <c r="D31" s="26"/>
      <c r="E31" s="28"/>
      <c r="F31" s="29"/>
      <c r="G31" s="30" t="str">
        <f aca="true">IF(C31="","",C31-TODAY())</f>
        <v/>
      </c>
    </row>
    <row r="32" customFormat="false" ht="33.75" hidden="false" customHeight="true" outlineLevel="0" collapsed="false">
      <c r="A32" s="31"/>
      <c r="B32" s="31"/>
      <c r="C32" s="32"/>
      <c r="D32" s="31"/>
      <c r="E32" s="33"/>
      <c r="F32" s="34"/>
      <c r="G32" s="35" t="str">
        <f aca="true">IF(C32="","",C32-TODAY())</f>
        <v/>
      </c>
    </row>
    <row r="33" customFormat="false" ht="33.75" hidden="false" customHeight="true" outlineLevel="0" collapsed="false">
      <c r="A33" s="26"/>
      <c r="B33" s="26"/>
      <c r="C33" s="27"/>
      <c r="D33" s="26"/>
      <c r="E33" s="28"/>
      <c r="F33" s="29"/>
      <c r="G33" s="30" t="str">
        <f aca="true">IF(C33="","",C33-TODAY())</f>
        <v/>
      </c>
    </row>
    <row r="34" customFormat="false" ht="33.75" hidden="false" customHeight="true" outlineLevel="0" collapsed="false">
      <c r="A34" s="31"/>
      <c r="B34" s="31"/>
      <c r="C34" s="32"/>
      <c r="D34" s="31"/>
      <c r="E34" s="33"/>
      <c r="F34" s="34"/>
      <c r="G34" s="35" t="str">
        <f aca="true">IF(C34="","",C34-TODAY())</f>
        <v/>
      </c>
    </row>
    <row r="35" customFormat="false" ht="33.75" hidden="false" customHeight="true" outlineLevel="0" collapsed="false">
      <c r="A35" s="26"/>
      <c r="B35" s="26"/>
      <c r="C35" s="27"/>
      <c r="D35" s="26"/>
      <c r="E35" s="28"/>
      <c r="F35" s="29"/>
      <c r="G35" s="30" t="str">
        <f aca="true">IF(C35="","",C35-TODAY())</f>
        <v/>
      </c>
    </row>
    <row r="36" customFormat="false" ht="33.75" hidden="false" customHeight="true" outlineLevel="0" collapsed="false">
      <c r="A36" s="31"/>
      <c r="B36" s="31"/>
      <c r="C36" s="32"/>
      <c r="D36" s="31"/>
      <c r="E36" s="33"/>
      <c r="F36" s="34"/>
      <c r="G36" s="35" t="str">
        <f aca="true">IF(C36="","",C36-TODAY())</f>
        <v/>
      </c>
    </row>
    <row r="37" customFormat="false" ht="33.75" hidden="false" customHeight="true" outlineLevel="0" collapsed="false">
      <c r="A37" s="26"/>
      <c r="B37" s="26"/>
      <c r="C37" s="27"/>
      <c r="D37" s="26"/>
      <c r="E37" s="28"/>
      <c r="F37" s="29"/>
      <c r="G37" s="30" t="str">
        <f aca="true">IF(C37="","",C37-TODAY())</f>
        <v/>
      </c>
    </row>
    <row r="38" customFormat="false" ht="33.75" hidden="false" customHeight="true" outlineLevel="0" collapsed="false">
      <c r="A38" s="31"/>
      <c r="B38" s="31"/>
      <c r="C38" s="32"/>
      <c r="D38" s="31"/>
      <c r="E38" s="33"/>
      <c r="F38" s="34"/>
      <c r="G38" s="35" t="str">
        <f aca="true">IF(C38="","",C38-TODAY())</f>
        <v/>
      </c>
    </row>
    <row r="39" customFormat="false" ht="33.75" hidden="false" customHeight="true" outlineLevel="0" collapsed="false">
      <c r="A39" s="26"/>
      <c r="B39" s="26"/>
      <c r="C39" s="27"/>
      <c r="D39" s="26"/>
      <c r="E39" s="28"/>
      <c r="F39" s="29"/>
      <c r="G39" s="30" t="str">
        <f aca="true">IF(C39="","",C39-TODAY())</f>
        <v/>
      </c>
    </row>
    <row r="40" customFormat="false" ht="33.75" hidden="false" customHeight="true" outlineLevel="0" collapsed="false">
      <c r="A40" s="31"/>
      <c r="B40" s="31"/>
      <c r="C40" s="32"/>
      <c r="D40" s="31"/>
      <c r="E40" s="33"/>
      <c r="F40" s="34"/>
      <c r="G40" s="35" t="str">
        <f aca="true">IF(C40="","",C40-TODAY())</f>
        <v/>
      </c>
    </row>
    <row r="41" customFormat="false" ht="33.75" hidden="false" customHeight="true" outlineLevel="0" collapsed="false">
      <c r="A41" s="26"/>
      <c r="B41" s="26"/>
      <c r="C41" s="27"/>
      <c r="D41" s="26"/>
      <c r="E41" s="28"/>
      <c r="F41" s="29"/>
      <c r="G41" s="30" t="str">
        <f aca="true">IF(C41="","",C41-TODAY())</f>
        <v/>
      </c>
    </row>
    <row r="42" customFormat="false" ht="33.75" hidden="false" customHeight="true" outlineLevel="0" collapsed="false">
      <c r="A42" s="31"/>
      <c r="B42" s="31"/>
      <c r="C42" s="32"/>
      <c r="D42" s="31"/>
      <c r="E42" s="33"/>
      <c r="F42" s="34"/>
      <c r="G42" s="35" t="str">
        <f aca="true">IF(C42="","",C42-TODAY())</f>
        <v/>
      </c>
    </row>
    <row r="43" customFormat="false" ht="33.75" hidden="false" customHeight="true" outlineLevel="0" collapsed="false">
      <c r="A43" s="26"/>
      <c r="B43" s="26"/>
      <c r="C43" s="27"/>
      <c r="D43" s="26"/>
      <c r="E43" s="28"/>
      <c r="F43" s="29"/>
      <c r="G43" s="30" t="str">
        <f aca="true">IF(C43="","",C43-TODAY())</f>
        <v/>
      </c>
    </row>
    <row r="44" customFormat="false" ht="33.75" hidden="false" customHeight="true" outlineLevel="0" collapsed="false">
      <c r="A44" s="31"/>
      <c r="B44" s="31"/>
      <c r="C44" s="32"/>
      <c r="D44" s="31"/>
      <c r="E44" s="33"/>
      <c r="F44" s="34"/>
      <c r="G44" s="35" t="str">
        <f aca="true">IF(C44="","",C44-TODAY())</f>
        <v/>
      </c>
    </row>
    <row r="45" customFormat="false" ht="33.75" hidden="false" customHeight="true" outlineLevel="0" collapsed="false">
      <c r="A45" s="26"/>
      <c r="B45" s="26"/>
      <c r="C45" s="27"/>
      <c r="D45" s="26"/>
      <c r="E45" s="28"/>
      <c r="F45" s="29"/>
      <c r="G45" s="30" t="str">
        <f aca="true">IF(C45="","",C45-TODAY())</f>
        <v/>
      </c>
    </row>
    <row r="46" customFormat="false" ht="33.75" hidden="false" customHeight="true" outlineLevel="0" collapsed="false">
      <c r="A46" s="31"/>
      <c r="B46" s="31"/>
      <c r="C46" s="32"/>
      <c r="D46" s="31"/>
      <c r="E46" s="33"/>
      <c r="F46" s="34"/>
      <c r="G46" s="35" t="str">
        <f aca="true">IF(C46="","",C46-TODAY())</f>
        <v/>
      </c>
    </row>
    <row r="47" customFormat="false" ht="33.75" hidden="false" customHeight="true" outlineLevel="0" collapsed="false">
      <c r="A47" s="26"/>
      <c r="B47" s="26"/>
      <c r="C47" s="27"/>
      <c r="D47" s="26"/>
      <c r="E47" s="28"/>
      <c r="F47" s="29"/>
      <c r="G47" s="30" t="str">
        <f aca="true">IF(C47="","",C47-TODAY())</f>
        <v/>
      </c>
    </row>
    <row r="48" customFormat="false" ht="33.75" hidden="false" customHeight="true" outlineLevel="0" collapsed="false">
      <c r="A48" s="31"/>
      <c r="B48" s="31"/>
      <c r="C48" s="32"/>
      <c r="D48" s="31"/>
      <c r="E48" s="33"/>
      <c r="F48" s="34"/>
      <c r="G48" s="35" t="str">
        <f aca="true">IF(C48="","",C48-TODAY())</f>
        <v/>
      </c>
    </row>
    <row r="49" customFormat="false" ht="33.75" hidden="false" customHeight="true" outlineLevel="0" collapsed="false">
      <c r="A49" s="26"/>
      <c r="B49" s="26"/>
      <c r="C49" s="27"/>
      <c r="D49" s="26"/>
      <c r="E49" s="28"/>
      <c r="F49" s="29"/>
      <c r="G49" s="30" t="str">
        <f aca="true">IF(C49="","",C49-TODAY())</f>
        <v/>
      </c>
    </row>
    <row r="50" customFormat="false" ht="33.75" hidden="false" customHeight="true" outlineLevel="0" collapsed="false">
      <c r="A50" s="31"/>
      <c r="B50" s="31"/>
      <c r="C50" s="32"/>
      <c r="D50" s="31"/>
      <c r="E50" s="33"/>
      <c r="F50" s="34"/>
      <c r="G50" s="35" t="str">
        <f aca="true">IF(C50="","",C50-TODAY())</f>
        <v/>
      </c>
    </row>
    <row r="51" customFormat="false" ht="33.75" hidden="false" customHeight="true" outlineLevel="0" collapsed="false">
      <c r="A51" s="26"/>
      <c r="B51" s="26"/>
      <c r="C51" s="27"/>
      <c r="D51" s="26"/>
      <c r="E51" s="28"/>
      <c r="F51" s="29"/>
      <c r="G51" s="30" t="str">
        <f aca="true">IF(C51="","",C51-TODAY())</f>
        <v/>
      </c>
    </row>
    <row r="52" customFormat="false" ht="33.75" hidden="false" customHeight="true" outlineLevel="0" collapsed="false">
      <c r="A52" s="31"/>
      <c r="B52" s="31"/>
      <c r="C52" s="32"/>
      <c r="D52" s="31"/>
      <c r="E52" s="33"/>
      <c r="F52" s="34"/>
      <c r="G52" s="35" t="str">
        <f aca="true">IF(C52="","",C52-TODAY())</f>
        <v/>
      </c>
    </row>
    <row r="53" customFormat="false" ht="33.75" hidden="false" customHeight="true" outlineLevel="0" collapsed="false">
      <c r="A53" s="26"/>
      <c r="B53" s="26"/>
      <c r="C53" s="27"/>
      <c r="D53" s="26"/>
      <c r="E53" s="28"/>
      <c r="F53" s="29"/>
      <c r="G53" s="30" t="str">
        <f aca="true">IF(C53="","",C53-TODAY())</f>
        <v/>
      </c>
    </row>
    <row r="54" customFormat="false" ht="33.75" hidden="false" customHeight="true" outlineLevel="0" collapsed="false">
      <c r="A54" s="31"/>
      <c r="B54" s="31"/>
      <c r="C54" s="32"/>
      <c r="D54" s="31"/>
      <c r="E54" s="33"/>
      <c r="F54" s="34"/>
      <c r="G54" s="35" t="str">
        <f aca="true">IF(C54="","",C54-TODAY())</f>
        <v/>
      </c>
    </row>
  </sheetData>
  <autoFilter ref="A4:G54"/>
  <mergeCells count="2">
    <mergeCell ref="A1:G1"/>
    <mergeCell ref="A2:G2"/>
  </mergeCells>
  <conditionalFormatting sqref="A5:G54">
    <cfRule type="expression" priority="2" aboveAverage="0" equalAverage="0" bottom="0" percent="0" rank="0" text="" dxfId="5">
      <formula>AND($D5&lt;&gt;"Complete",$C5&lt;&gt;"",$C5&lt;TODAY())</formula>
    </cfRule>
    <cfRule type="expression" priority="3" aboveAverage="0" equalAverage="0" bottom="0" percent="0" rank="0" text="" dxfId="6">
      <formula>AND($D5&lt;&gt;"Complete",$C5&gt;=TODAY(),$C5&lt;=TODAY()+7)</formula>
    </cfRule>
    <cfRule type="expression" priority="4" aboveAverage="0" equalAverage="0" bottom="0" percent="0" rank="0" text="" dxfId="7">
      <formula>$D5="Complete"</formula>
    </cfRule>
  </conditionalFormatting>
  <dataValidations count="3">
    <dataValidation allowBlank="true" errorStyle="stop" operator="between" showDropDown="false" showErrorMessage="false" showInputMessage="false" sqref="D5:D54" type="list">
      <formula1>"Not started,In progress,Waiting,Complete"</formula1>
      <formula2>0</formula2>
    </dataValidation>
    <dataValidation allowBlank="true" errorStyle="stop" operator="between" showDropDown="false" showErrorMessage="false" showInputMessage="false" sqref="B5:B54" type="list">
      <formula1>"Booking,Shipment,Loading,Destination,Vehicle,Utilities,Travel,Admin,Delivery,Other"</formula1>
      <formula2>0</formula2>
    </dataValidation>
    <dataValidation allowBlank="true" error="Enter a valid date between Jan 1, 2000 and Dec 31, 2100." errorStyle="stop" errorTitle="Check the date" operator="between" prompt="Type a valid date, for example Oct 11, 2026." promptTitle="Enter a date" showDropDown="false" showErrorMessage="true" showInputMessage="true" sqref="C5:C54" type="date">
      <formula1>DATE(2000,1,1)</formula1>
      <formula2>DATE(2100,12,31)</formula2>
    </dataValidation>
  </dataValidation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F7195"/>
    <pageSetUpPr fitToPage="true"/>
  </sheetPr>
  <dimension ref="A1:I2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1" width="34.17"/>
    <col collapsed="false" customWidth="true" hidden="false" outlineLevel="0" max="3" min="2" style="1" width="25"/>
    <col collapsed="false" customWidth="true" hidden="false" outlineLevel="0" max="6" min="4" style="1" width="16"/>
    <col collapsed="false" customWidth="true" hidden="false" outlineLevel="0" max="7" min="7" style="1" width="24"/>
    <col collapsed="false" customWidth="true" hidden="false" outlineLevel="0" max="8" min="8" style="1" width="38"/>
    <col collapsed="false" customWidth="true" hidden="false" outlineLevel="0" max="9" min="9" style="1" width="30"/>
  </cols>
  <sheetData>
    <row r="1" customFormat="false" ht="42" hidden="false" customHeight="true" outlineLevel="0" collapsed="false">
      <c r="A1" s="22" t="s">
        <v>79</v>
      </c>
      <c r="B1" s="22"/>
      <c r="C1" s="22"/>
      <c r="D1" s="22"/>
      <c r="E1" s="22"/>
      <c r="F1" s="22"/>
      <c r="G1" s="22"/>
      <c r="H1" s="22"/>
      <c r="I1" s="22"/>
    </row>
    <row r="2" customFormat="false" ht="33.75" hidden="false" customHeight="true" outlineLevel="0" collapsed="false">
      <c r="A2" s="36" t="s">
        <v>80</v>
      </c>
      <c r="B2" s="36"/>
      <c r="C2" s="36"/>
      <c r="D2" s="36"/>
      <c r="E2" s="36"/>
      <c r="F2" s="36"/>
      <c r="G2" s="36"/>
      <c r="H2" s="36"/>
      <c r="I2" s="36"/>
    </row>
    <row r="3" customFormat="false" ht="12" hidden="false" customHeight="true" outlineLevel="0" collapsed="false"/>
    <row r="4" customFormat="false" ht="30" hidden="false" customHeight="true" outlineLevel="0" collapsed="false">
      <c r="A4" s="37" t="s">
        <v>81</v>
      </c>
      <c r="B4" s="37" t="s">
        <v>82</v>
      </c>
      <c r="C4" s="37" t="s">
        <v>83</v>
      </c>
      <c r="D4" s="37" t="s">
        <v>84</v>
      </c>
      <c r="E4" s="37" t="s">
        <v>85</v>
      </c>
      <c r="F4" s="37" t="s">
        <v>86</v>
      </c>
      <c r="G4" s="37" t="s">
        <v>87</v>
      </c>
      <c r="H4" s="37" t="s">
        <v>88</v>
      </c>
      <c r="I4" s="37" t="s">
        <v>89</v>
      </c>
    </row>
    <row r="5" customFormat="false" ht="33.75" hidden="false" customHeight="true" outlineLevel="0" collapsed="false">
      <c r="A5" s="26" t="s">
        <v>90</v>
      </c>
      <c r="B5" s="26"/>
      <c r="C5" s="38"/>
      <c r="D5" s="28"/>
      <c r="E5" s="28"/>
      <c r="F5" s="28" t="str">
        <f aca="false">IF(D5="","",IFERROR(D5-IF(E5="",0,E5),""))</f>
        <v/>
      </c>
      <c r="G5" s="39"/>
      <c r="H5" s="26"/>
      <c r="I5" s="26"/>
    </row>
    <row r="6" customFormat="false" ht="33.75" hidden="false" customHeight="true" outlineLevel="0" collapsed="false">
      <c r="A6" s="31" t="s">
        <v>91</v>
      </c>
      <c r="B6" s="31"/>
      <c r="C6" s="40"/>
      <c r="D6" s="33"/>
      <c r="E6" s="33"/>
      <c r="F6" s="33" t="str">
        <f aca="false">IF(D6="","",IFERROR(D6-IF(E6="",0,E6),""))</f>
        <v/>
      </c>
      <c r="G6" s="41"/>
      <c r="H6" s="31"/>
      <c r="I6" s="31"/>
    </row>
    <row r="7" customFormat="false" ht="33.75" hidden="false" customHeight="true" outlineLevel="0" collapsed="false">
      <c r="A7" s="26" t="s">
        <v>92</v>
      </c>
      <c r="B7" s="26"/>
      <c r="C7" s="38"/>
      <c r="D7" s="28"/>
      <c r="E7" s="28"/>
      <c r="F7" s="28" t="str">
        <f aca="false">IF(D7="","",IFERROR(D7-IF(E7="",0,E7),""))</f>
        <v/>
      </c>
      <c r="G7" s="39"/>
      <c r="H7" s="26"/>
      <c r="I7" s="26"/>
    </row>
    <row r="8" customFormat="false" ht="33.75" hidden="false" customHeight="true" outlineLevel="0" collapsed="false">
      <c r="A8" s="31" t="s">
        <v>93</v>
      </c>
      <c r="B8" s="31"/>
      <c r="C8" s="40"/>
      <c r="D8" s="33"/>
      <c r="E8" s="33"/>
      <c r="F8" s="33" t="str">
        <f aca="false">IF(D8="","",IFERROR(D8-IF(E8="",0,E8),""))</f>
        <v/>
      </c>
      <c r="G8" s="41"/>
      <c r="H8" s="31"/>
      <c r="I8" s="31"/>
    </row>
    <row r="9" customFormat="false" ht="33.75" hidden="false" customHeight="true" outlineLevel="0" collapsed="false">
      <c r="A9" s="26" t="s">
        <v>94</v>
      </c>
      <c r="B9" s="26"/>
      <c r="C9" s="38"/>
      <c r="D9" s="28"/>
      <c r="E9" s="28"/>
      <c r="F9" s="28" t="str">
        <f aca="false">IF(D9="","",IFERROR(D9-IF(E9="",0,E9),""))</f>
        <v/>
      </c>
      <c r="G9" s="39"/>
      <c r="H9" s="26"/>
      <c r="I9" s="26"/>
    </row>
    <row r="10" customFormat="false" ht="33.75" hidden="false" customHeight="true" outlineLevel="0" collapsed="false">
      <c r="A10" s="31"/>
      <c r="B10" s="31"/>
      <c r="C10" s="40"/>
      <c r="D10" s="33"/>
      <c r="E10" s="33"/>
      <c r="F10" s="33" t="str">
        <f aca="false">IF(D10="","",IFERROR(D10-IF(E10="",0,E10),""))</f>
        <v/>
      </c>
      <c r="G10" s="41"/>
      <c r="H10" s="31"/>
      <c r="I10" s="31"/>
    </row>
    <row r="11" customFormat="false" ht="33.75" hidden="false" customHeight="true" outlineLevel="0" collapsed="false">
      <c r="A11" s="26"/>
      <c r="B11" s="26"/>
      <c r="C11" s="38"/>
      <c r="D11" s="28"/>
      <c r="E11" s="28"/>
      <c r="F11" s="28" t="str">
        <f aca="false">IF(D11="","",IFERROR(D11-IF(E11="",0,E11),""))</f>
        <v/>
      </c>
      <c r="G11" s="39"/>
      <c r="H11" s="26"/>
      <c r="I11" s="26"/>
    </row>
    <row r="12" customFormat="false" ht="33.75" hidden="false" customHeight="true" outlineLevel="0" collapsed="false">
      <c r="A12" s="31"/>
      <c r="B12" s="31"/>
      <c r="C12" s="40"/>
      <c r="D12" s="33"/>
      <c r="E12" s="33"/>
      <c r="F12" s="33" t="str">
        <f aca="false">IF(D12="","",IFERROR(D12-IF(E12="",0,E12),""))</f>
        <v/>
      </c>
      <c r="G12" s="41"/>
      <c r="H12" s="31"/>
      <c r="I12" s="31"/>
    </row>
    <row r="13" customFormat="false" ht="33.75" hidden="false" customHeight="true" outlineLevel="0" collapsed="false">
      <c r="A13" s="26"/>
      <c r="B13" s="26"/>
      <c r="C13" s="38"/>
      <c r="D13" s="28"/>
      <c r="E13" s="28"/>
      <c r="F13" s="28" t="str">
        <f aca="false">IF(D13="","",IFERROR(D13-IF(E13="",0,E13),""))</f>
        <v/>
      </c>
      <c r="G13" s="39"/>
      <c r="H13" s="26"/>
      <c r="I13" s="26"/>
    </row>
    <row r="14" customFormat="false" ht="33.75" hidden="false" customHeight="true" outlineLevel="0" collapsed="false">
      <c r="A14" s="31"/>
      <c r="B14" s="31"/>
      <c r="C14" s="40"/>
      <c r="D14" s="33"/>
      <c r="E14" s="33"/>
      <c r="F14" s="33" t="str">
        <f aca="false">IF(D14="","",IFERROR(D14-IF(E14="",0,E14),""))</f>
        <v/>
      </c>
      <c r="G14" s="41"/>
      <c r="H14" s="31"/>
      <c r="I14" s="31"/>
    </row>
    <row r="15" customFormat="false" ht="33.75" hidden="false" customHeight="true" outlineLevel="0" collapsed="false">
      <c r="A15" s="26"/>
      <c r="B15" s="26"/>
      <c r="C15" s="38"/>
      <c r="D15" s="28"/>
      <c r="E15" s="28"/>
      <c r="F15" s="28" t="str">
        <f aca="false">IF(D15="","",IFERROR(D15-IF(E15="",0,E15),""))</f>
        <v/>
      </c>
      <c r="G15" s="39"/>
      <c r="H15" s="26"/>
      <c r="I15" s="26"/>
    </row>
    <row r="16" customFormat="false" ht="33.75" hidden="false" customHeight="true" outlineLevel="0" collapsed="false">
      <c r="A16" s="31"/>
      <c r="B16" s="31"/>
      <c r="C16" s="40"/>
      <c r="D16" s="33"/>
      <c r="E16" s="33"/>
      <c r="F16" s="33" t="str">
        <f aca="false">IF(D16="","",IFERROR(D16-IF(E16="",0,E16),""))</f>
        <v/>
      </c>
      <c r="G16" s="41"/>
      <c r="H16" s="31"/>
      <c r="I16" s="31"/>
    </row>
    <row r="17" customFormat="false" ht="33.75" hidden="false" customHeight="true" outlineLevel="0" collapsed="false">
      <c r="A17" s="26"/>
      <c r="B17" s="26"/>
      <c r="C17" s="38"/>
      <c r="D17" s="28"/>
      <c r="E17" s="28"/>
      <c r="F17" s="28" t="str">
        <f aca="false">IF(D17="","",IFERROR(D17-IF(E17="",0,E17),""))</f>
        <v/>
      </c>
      <c r="G17" s="39"/>
      <c r="H17" s="26"/>
      <c r="I17" s="26"/>
    </row>
    <row r="18" customFormat="false" ht="33.75" hidden="false" customHeight="true" outlineLevel="0" collapsed="false">
      <c r="A18" s="31"/>
      <c r="B18" s="31"/>
      <c r="C18" s="40"/>
      <c r="D18" s="33"/>
      <c r="E18" s="33"/>
      <c r="F18" s="33" t="str">
        <f aca="false">IF(D18="","",IFERROR(D18-IF(E18="",0,E18),""))</f>
        <v/>
      </c>
      <c r="G18" s="41"/>
      <c r="H18" s="31"/>
      <c r="I18" s="31"/>
    </row>
    <row r="19" customFormat="false" ht="33.75" hidden="false" customHeight="true" outlineLevel="0" collapsed="false">
      <c r="A19" s="26"/>
      <c r="B19" s="26"/>
      <c r="C19" s="38"/>
      <c r="D19" s="28"/>
      <c r="E19" s="28"/>
      <c r="F19" s="28" t="str">
        <f aca="false">IF(D19="","",IFERROR(D19-IF(E19="",0,E19),""))</f>
        <v/>
      </c>
      <c r="G19" s="39"/>
      <c r="H19" s="26"/>
      <c r="I19" s="26"/>
    </row>
    <row r="20" customFormat="false" ht="33.75" hidden="false" customHeight="true" outlineLevel="0" collapsed="false">
      <c r="A20" s="31"/>
      <c r="B20" s="31"/>
      <c r="C20" s="40"/>
      <c r="D20" s="33"/>
      <c r="E20" s="33"/>
      <c r="F20" s="33" t="str">
        <f aca="false">IF(D20="","",IFERROR(D20-IF(E20="",0,E20),""))</f>
        <v/>
      </c>
      <c r="G20" s="41"/>
      <c r="H20" s="31"/>
      <c r="I20" s="31"/>
    </row>
    <row r="21" customFormat="false" ht="33.75" hidden="false" customHeight="true" outlineLevel="0" collapsed="false">
      <c r="A21" s="26"/>
      <c r="B21" s="26"/>
      <c r="C21" s="38"/>
      <c r="D21" s="28"/>
      <c r="E21" s="28"/>
      <c r="F21" s="28" t="str">
        <f aca="false">IF(D21="","",IFERROR(D21-IF(E21="",0,E21),""))</f>
        <v/>
      </c>
      <c r="G21" s="39"/>
      <c r="H21" s="26"/>
      <c r="I21" s="26"/>
    </row>
    <row r="22" customFormat="false" ht="33.75" hidden="false" customHeight="true" outlineLevel="0" collapsed="false">
      <c r="A22" s="31"/>
      <c r="B22" s="31"/>
      <c r="C22" s="40"/>
      <c r="D22" s="33"/>
      <c r="E22" s="33"/>
      <c r="F22" s="33" t="str">
        <f aca="false">IF(D22="","",IFERROR(D22-IF(E22="",0,E22),""))</f>
        <v/>
      </c>
      <c r="G22" s="41"/>
      <c r="H22" s="31"/>
      <c r="I22" s="31"/>
    </row>
    <row r="23" customFormat="false" ht="33.75" hidden="false" customHeight="true" outlineLevel="0" collapsed="false">
      <c r="A23" s="26"/>
      <c r="B23" s="26"/>
      <c r="C23" s="38"/>
      <c r="D23" s="28"/>
      <c r="E23" s="28"/>
      <c r="F23" s="28" t="str">
        <f aca="false">IF(D23="","",IFERROR(D23-IF(E23="",0,E23),""))</f>
        <v/>
      </c>
      <c r="G23" s="39"/>
      <c r="H23" s="26"/>
      <c r="I23" s="26"/>
    </row>
    <row r="24" customFormat="false" ht="33.75" hidden="false" customHeight="true" outlineLevel="0" collapsed="false">
      <c r="A24" s="31"/>
      <c r="B24" s="31"/>
      <c r="C24" s="40"/>
      <c r="D24" s="33"/>
      <c r="E24" s="33"/>
      <c r="F24" s="33" t="str">
        <f aca="false">IF(D24="","",IFERROR(D24-IF(E24="",0,E24),""))</f>
        <v/>
      </c>
      <c r="G24" s="41"/>
      <c r="H24" s="31"/>
      <c r="I24" s="31"/>
    </row>
  </sheetData>
  <autoFilter ref="A4:I24"/>
  <mergeCells count="2">
    <mergeCell ref="A1:I1"/>
    <mergeCell ref="A2:I2"/>
  </mergeCells>
  <dataValidations count="3">
    <dataValidation allowBlank="true" error="Choose a listed type or use Other." errorStyle="stop" errorTitle="Choose a listed service type" operator="between" prompt="Choose a service type for this extra provider." promptTitle="Additional provider" showDropDown="false" showErrorMessage="true" showInputMessage="true" sqref="A10:A24" type="list">
      <formula1>"Moving company,Container / POD service,Self-storage facility,Destination unloading crew,Vehicle transport,Other"</formula1>
      <formula2>0</formula2>
    </dataValidation>
    <dataValidation allowBlank="true" error="Enter a 10-digit phone number, without punctuation." errorStyle="stop" errorTitle="Check phone number" operator="between" prompt="Enter 10 digits; the cell formats the number for display." promptTitle="Phone number" showDropDown="false" showErrorMessage="false" showInputMessage="false" sqref="C5:C24" type="custom">
      <formula1>OR(C5="",AND(ISNUMBER(C5),LEN(TEXT(C5,"0"))=10))</formula1>
      <formula2>0</formula2>
    </dataValidation>
    <dataValidation allowBlank="true" error="Enter a valid service date." errorStyle="stop" errorTitle="Check date" operator="greaterThanOrEqual" showDropDown="false" showErrorMessage="false" showInputMessage="false" sqref="G5:G24" type="date">
      <formula1>DATE(2000,1,1)</formula1>
      <formula2>0</formula2>
    </dataValidation>
  </dataValidation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8C70"/>
    <pageSetUpPr fitToPage="true"/>
  </sheetPr>
  <dimension ref="A1: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1" width="29"/>
    <col collapsed="false" customWidth="true" hidden="false" outlineLevel="0" max="2" min="2" style="1" width="36"/>
    <col collapsed="false" customWidth="true" hidden="false" outlineLevel="0" max="3" min="3" style="1" width="29"/>
    <col collapsed="false" customWidth="true" hidden="false" outlineLevel="0" max="5" min="4" style="1" width="19"/>
    <col collapsed="false" customWidth="true" hidden="false" outlineLevel="0" max="6" min="6" style="1" width="15"/>
  </cols>
  <sheetData>
    <row r="1" customFormat="false" ht="42" hidden="false" customHeight="true" outlineLevel="0" collapsed="false">
      <c r="A1" s="22" t="s">
        <v>95</v>
      </c>
      <c r="B1" s="22"/>
      <c r="C1" s="22"/>
      <c r="D1" s="22"/>
      <c r="E1" s="22"/>
      <c r="F1" s="22"/>
    </row>
    <row r="2" customFormat="false" ht="42" hidden="false" customHeight="true" outlineLevel="0" collapsed="false">
      <c r="A2" s="23" t="s">
        <v>96</v>
      </c>
      <c r="B2" s="23"/>
      <c r="C2" s="23"/>
      <c r="D2" s="23"/>
      <c r="E2" s="23"/>
      <c r="F2" s="23"/>
    </row>
    <row r="3" customFormat="false" ht="12" hidden="false" customHeight="true" outlineLevel="0" collapsed="false"/>
    <row r="4" customFormat="false" ht="48" hidden="false" customHeight="true" outlineLevel="0" collapsed="false">
      <c r="A4" s="24" t="s">
        <v>97</v>
      </c>
      <c r="B4" s="24" t="s">
        <v>98</v>
      </c>
      <c r="C4" s="42" t="s">
        <v>99</v>
      </c>
      <c r="D4" s="42" t="s">
        <v>100</v>
      </c>
      <c r="E4" s="42" t="s">
        <v>101</v>
      </c>
      <c r="F4" s="42" t="s">
        <v>102</v>
      </c>
    </row>
    <row r="5" customFormat="false" ht="31.5" hidden="false" customHeight="true" outlineLevel="0" collapsed="false">
      <c r="A5" s="26" t="s">
        <v>90</v>
      </c>
      <c r="B5" s="26"/>
      <c r="C5" s="43" t="str">
        <f aca="false">IF(Providers!D5="","",Providers!D5)</f>
        <v/>
      </c>
      <c r="D5" s="28"/>
      <c r="E5" s="28" t="str">
        <f aca="false">IF(AND(C5="",D5=""),"",D5-C5)</f>
        <v/>
      </c>
      <c r="F5" s="44" t="s">
        <v>103</v>
      </c>
    </row>
    <row r="6" customFormat="false" ht="31.5" hidden="false" customHeight="true" outlineLevel="0" collapsed="false">
      <c r="A6" s="31" t="s">
        <v>91</v>
      </c>
      <c r="B6" s="31"/>
      <c r="C6" s="43" t="str">
        <f aca="false">IF(Providers!D6="","",Providers!D6)</f>
        <v/>
      </c>
      <c r="D6" s="33"/>
      <c r="E6" s="33" t="str">
        <f aca="false">IF(AND(C6="",D6=""),"",D6-C6)</f>
        <v/>
      </c>
      <c r="F6" s="45" t="s">
        <v>103</v>
      </c>
    </row>
    <row r="7" customFormat="false" ht="31.5" hidden="false" customHeight="true" outlineLevel="0" collapsed="false">
      <c r="A7" s="26" t="s">
        <v>92</v>
      </c>
      <c r="B7" s="26"/>
      <c r="C7" s="43" t="str">
        <f aca="false">IF(Providers!D7="","",Providers!D7)</f>
        <v/>
      </c>
      <c r="D7" s="28"/>
      <c r="E7" s="28" t="str">
        <f aca="false">IF(AND(C7="",D7=""),"",D7-C7)</f>
        <v/>
      </c>
      <c r="F7" s="44" t="s">
        <v>103</v>
      </c>
    </row>
    <row r="8" customFormat="false" ht="31.5" hidden="false" customHeight="true" outlineLevel="0" collapsed="false">
      <c r="A8" s="31" t="s">
        <v>104</v>
      </c>
      <c r="B8" s="31"/>
      <c r="C8" s="43" t="str">
        <f aca="false">IF(Providers!D8="","",Providers!D8)</f>
        <v/>
      </c>
      <c r="D8" s="33"/>
      <c r="E8" s="33" t="str">
        <f aca="false">IF(AND(C8="",D8=""),"",D8-C8)</f>
        <v/>
      </c>
      <c r="F8" s="45" t="s">
        <v>103</v>
      </c>
    </row>
    <row r="9" customFormat="false" ht="31.5" hidden="false" customHeight="true" outlineLevel="0" collapsed="false">
      <c r="A9" s="31" t="s">
        <v>94</v>
      </c>
      <c r="B9" s="31"/>
      <c r="C9" s="43" t="str">
        <f aca="false">IF(Providers!D9="","",Providers!D9)</f>
        <v/>
      </c>
      <c r="D9" s="33"/>
      <c r="E9" s="33" t="str">
        <f aca="false">IF(AND(C9="",D9=""),"",D9-C9)</f>
        <v/>
      </c>
      <c r="F9" s="45" t="s">
        <v>103</v>
      </c>
    </row>
    <row r="10" customFormat="false" ht="31.5" hidden="false" customHeight="true" outlineLevel="0" collapsed="false">
      <c r="A10" s="31" t="s">
        <v>105</v>
      </c>
      <c r="B10" s="31"/>
      <c r="C10" s="33"/>
      <c r="D10" s="33"/>
      <c r="E10" s="33" t="str">
        <f aca="false">IF(AND(C10="",D10=""),"",D10-C10)</f>
        <v/>
      </c>
      <c r="F10" s="45" t="s">
        <v>103</v>
      </c>
    </row>
    <row r="11" customFormat="false" ht="31.5" hidden="false" customHeight="true" outlineLevel="0" collapsed="false">
      <c r="A11" s="26" t="s">
        <v>106</v>
      </c>
      <c r="B11" s="26"/>
      <c r="C11" s="28"/>
      <c r="D11" s="28"/>
      <c r="E11" s="28" t="str">
        <f aca="false">IF(AND(C11="",D11=""),"",D11-C11)</f>
        <v/>
      </c>
      <c r="F11" s="44" t="s">
        <v>103</v>
      </c>
    </row>
    <row r="12" customFormat="false" ht="31.5" hidden="false" customHeight="true" outlineLevel="0" collapsed="false">
      <c r="A12" s="31" t="s">
        <v>107</v>
      </c>
      <c r="B12" s="31"/>
      <c r="C12" s="33"/>
      <c r="D12" s="33"/>
      <c r="E12" s="33" t="str">
        <f aca="false">IF(AND(C12="",D12=""),"",D12-C12)</f>
        <v/>
      </c>
      <c r="F12" s="45" t="s">
        <v>103</v>
      </c>
    </row>
    <row r="13" customFormat="false" ht="31.5" hidden="false" customHeight="true" outlineLevel="0" collapsed="false">
      <c r="A13" s="26" t="s">
        <v>108</v>
      </c>
      <c r="B13" s="26"/>
      <c r="C13" s="28"/>
      <c r="D13" s="28"/>
      <c r="E13" s="28" t="str">
        <f aca="false">IF(AND(C13="",D13=""),"",D13-C13)</f>
        <v/>
      </c>
      <c r="F13" s="44" t="s">
        <v>103</v>
      </c>
    </row>
    <row r="14" customFormat="false" ht="31.5" hidden="false" customHeight="true" outlineLevel="0" collapsed="false">
      <c r="A14" s="31" t="s">
        <v>109</v>
      </c>
      <c r="B14" s="31"/>
      <c r="C14" s="33"/>
      <c r="D14" s="33"/>
      <c r="E14" s="33" t="str">
        <f aca="false">IF(AND(C14="",D14=""),"",D14-C14)</f>
        <v/>
      </c>
      <c r="F14" s="45" t="s">
        <v>103</v>
      </c>
    </row>
    <row r="15" customFormat="false" ht="31.5" hidden="false" customHeight="true" outlineLevel="0" collapsed="false">
      <c r="A15" s="26" t="s">
        <v>110</v>
      </c>
      <c r="B15" s="26"/>
      <c r="C15" s="28"/>
      <c r="D15" s="28"/>
      <c r="E15" s="28" t="str">
        <f aca="false">IF(AND(C15="",D15=""),"",D15-C15)</f>
        <v/>
      </c>
      <c r="F15" s="44" t="s">
        <v>103</v>
      </c>
    </row>
    <row r="16" customFormat="false" ht="31.5" hidden="false" customHeight="true" outlineLevel="0" collapsed="false">
      <c r="A16" s="31" t="s">
        <v>111</v>
      </c>
      <c r="B16" s="31"/>
      <c r="C16" s="33"/>
      <c r="D16" s="33"/>
      <c r="E16" s="33" t="str">
        <f aca="false">IF(AND(C16="",D16=""),"",D16-C16)</f>
        <v/>
      </c>
      <c r="F16" s="45" t="s">
        <v>103</v>
      </c>
    </row>
    <row r="17" customFormat="false" ht="31.5" hidden="false" customHeight="true" outlineLevel="0" collapsed="false">
      <c r="A17" s="26"/>
      <c r="B17" s="26"/>
      <c r="C17" s="28"/>
      <c r="D17" s="28"/>
      <c r="E17" s="28"/>
      <c r="F17" s="44"/>
    </row>
    <row r="18" customFormat="false" ht="36" hidden="false" customHeight="true" outlineLevel="0" collapsed="false">
      <c r="A18" s="46" t="s">
        <v>112</v>
      </c>
      <c r="B18" s="46"/>
      <c r="C18" s="47" t="n">
        <f aca="false">SUM(C5:C17)</f>
        <v>0</v>
      </c>
      <c r="D18" s="47" t="n">
        <f aca="false">SUM(D5:D17)</f>
        <v>0</v>
      </c>
      <c r="E18" s="47" t="n">
        <f aca="false">SUM(E5:E17)</f>
        <v>0</v>
      </c>
      <c r="F18" s="46"/>
    </row>
  </sheetData>
  <mergeCells count="2">
    <mergeCell ref="A1:F1"/>
    <mergeCell ref="A2:F2"/>
  </mergeCells>
  <conditionalFormatting sqref="E5:E16">
    <cfRule type="expression" priority="2" aboveAverage="0" equalAverage="0" bottom="0" percent="0" rank="0" text="" dxfId="5">
      <formula>E5&gt;0</formula>
    </cfRule>
    <cfRule type="expression" priority="3" aboveAverage="0" equalAverage="0" bottom="0" percent="0" rank="0" text="" dxfId="7">
      <formula>E5&lt;0</formula>
    </cfRule>
  </conditionalFormatting>
  <dataValidations count="1">
    <dataValidation allowBlank="true" errorStyle="stop" operator="between" showDropDown="false" showErrorMessage="false" showInputMessage="false" sqref="F5:F16" type="list">
      <formula1>"No,Partial,Yes"</formula1>
      <formula2>0</formula2>
    </dataValidation>
  </dataValidations>
  <printOptions headings="false" gridLines="false" gridLinesSet="true" horizontalCentered="false" verticalCentered="false"/>
  <pageMargins left="0.35" right="0.35" top="0.4" bottom="0.4"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18B45"/>
    <pageSetUpPr fitToPage="true"/>
  </sheetPr>
  <dimension ref="A1:G2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1" width="21.05"/>
    <col collapsed="false" customWidth="true" hidden="false" outlineLevel="0" max="4" min="2" style="1" width="32"/>
    <col collapsed="false" customWidth="true" hidden="false" outlineLevel="0" max="5" min="5" style="1" width="36"/>
    <col collapsed="false" customWidth="true" hidden="false" outlineLevel="0" max="6" min="6" style="1" width="28"/>
    <col collapsed="false" customWidth="true" hidden="false" outlineLevel="0" max="7" min="7" style="1" width="16"/>
  </cols>
  <sheetData>
    <row r="1" customFormat="false" ht="42" hidden="false" customHeight="true" outlineLevel="0" collapsed="false">
      <c r="A1" s="22" t="s">
        <v>113</v>
      </c>
      <c r="B1" s="22"/>
      <c r="C1" s="22"/>
      <c r="D1" s="22"/>
      <c r="E1" s="22"/>
      <c r="F1" s="22"/>
      <c r="G1" s="22"/>
    </row>
    <row r="2" customFormat="false" ht="31.5" hidden="false" customHeight="true" outlineLevel="0" collapsed="false">
      <c r="A2" s="23" t="s">
        <v>114</v>
      </c>
      <c r="B2" s="23"/>
      <c r="C2" s="23"/>
      <c r="D2" s="23"/>
      <c r="E2" s="23"/>
      <c r="F2" s="23"/>
      <c r="G2" s="23"/>
    </row>
    <row r="3" customFormat="false" ht="12" hidden="false" customHeight="true" outlineLevel="0" collapsed="false"/>
    <row r="4" customFormat="false" ht="42" hidden="false" customHeight="true" outlineLevel="0" collapsed="false">
      <c r="A4" s="37" t="s">
        <v>115</v>
      </c>
      <c r="B4" s="37" t="s">
        <v>116</v>
      </c>
      <c r="C4" s="37" t="s">
        <v>117</v>
      </c>
      <c r="D4" s="37" t="s">
        <v>118</v>
      </c>
      <c r="E4" s="37" t="s">
        <v>119</v>
      </c>
      <c r="F4" s="37" t="s">
        <v>120</v>
      </c>
      <c r="G4" s="37" t="s">
        <v>121</v>
      </c>
    </row>
    <row r="5" customFormat="false" ht="31.5" hidden="false" customHeight="true" outlineLevel="0" collapsed="false">
      <c r="A5" s="48"/>
      <c r="B5" s="49"/>
      <c r="C5" s="49"/>
      <c r="D5" s="49"/>
      <c r="E5" s="49"/>
      <c r="F5" s="49"/>
      <c r="G5" s="49"/>
    </row>
    <row r="6" customFormat="false" ht="31.5" hidden="false" customHeight="true" outlineLevel="0" collapsed="false">
      <c r="A6" s="50"/>
      <c r="B6" s="51"/>
      <c r="C6" s="51"/>
      <c r="D6" s="51"/>
      <c r="E6" s="51"/>
      <c r="F6" s="51"/>
      <c r="G6" s="51"/>
    </row>
    <row r="7" customFormat="false" ht="31.5" hidden="false" customHeight="true" outlineLevel="0" collapsed="false">
      <c r="A7" s="48"/>
      <c r="B7" s="49"/>
      <c r="C7" s="49"/>
      <c r="D7" s="49"/>
      <c r="E7" s="49"/>
      <c r="F7" s="49"/>
      <c r="G7" s="49"/>
    </row>
    <row r="8" customFormat="false" ht="31.5" hidden="false" customHeight="true" outlineLevel="0" collapsed="false">
      <c r="A8" s="50"/>
      <c r="B8" s="51"/>
      <c r="C8" s="51"/>
      <c r="D8" s="51"/>
      <c r="E8" s="51"/>
      <c r="F8" s="51"/>
      <c r="G8" s="51"/>
    </row>
    <row r="9" customFormat="false" ht="31.5" hidden="false" customHeight="true" outlineLevel="0" collapsed="false">
      <c r="A9" s="48"/>
      <c r="B9" s="49"/>
      <c r="C9" s="49"/>
      <c r="D9" s="49"/>
      <c r="E9" s="49"/>
      <c r="F9" s="49"/>
      <c r="G9" s="49"/>
    </row>
    <row r="10" customFormat="false" ht="31.5" hidden="false" customHeight="true" outlineLevel="0" collapsed="false">
      <c r="A10" s="50"/>
      <c r="B10" s="51"/>
      <c r="C10" s="51"/>
      <c r="D10" s="51"/>
      <c r="E10" s="51"/>
      <c r="F10" s="51"/>
      <c r="G10" s="51"/>
    </row>
    <row r="11" customFormat="false" ht="31.5" hidden="false" customHeight="true" outlineLevel="0" collapsed="false">
      <c r="A11" s="48"/>
      <c r="B11" s="49"/>
      <c r="C11" s="49"/>
      <c r="D11" s="49"/>
      <c r="E11" s="49"/>
      <c r="F11" s="49"/>
      <c r="G11" s="49"/>
    </row>
    <row r="12" customFormat="false" ht="31.5" hidden="false" customHeight="true" outlineLevel="0" collapsed="false">
      <c r="A12" s="50"/>
      <c r="B12" s="51"/>
      <c r="C12" s="51"/>
      <c r="D12" s="51"/>
      <c r="E12" s="51"/>
      <c r="F12" s="51"/>
      <c r="G12" s="51"/>
    </row>
    <row r="13" customFormat="false" ht="31.5" hidden="false" customHeight="true" outlineLevel="0" collapsed="false">
      <c r="A13" s="48"/>
      <c r="B13" s="49"/>
      <c r="C13" s="49"/>
      <c r="D13" s="49"/>
      <c r="E13" s="49"/>
      <c r="F13" s="49"/>
      <c r="G13" s="49"/>
    </row>
    <row r="14" customFormat="false" ht="31.5" hidden="false" customHeight="true" outlineLevel="0" collapsed="false">
      <c r="A14" s="50"/>
      <c r="B14" s="51"/>
      <c r="C14" s="51"/>
      <c r="D14" s="51"/>
      <c r="E14" s="51"/>
      <c r="F14" s="51"/>
      <c r="G14" s="51"/>
    </row>
    <row r="15" customFormat="false" ht="31.5" hidden="false" customHeight="true" outlineLevel="0" collapsed="false">
      <c r="A15" s="48"/>
      <c r="B15" s="49"/>
      <c r="C15" s="49"/>
      <c r="D15" s="49"/>
      <c r="E15" s="49"/>
      <c r="F15" s="49"/>
      <c r="G15" s="49"/>
    </row>
    <row r="16" customFormat="false" ht="31.5" hidden="false" customHeight="true" outlineLevel="0" collapsed="false">
      <c r="A16" s="50"/>
      <c r="B16" s="51"/>
      <c r="C16" s="51"/>
      <c r="D16" s="51"/>
      <c r="E16" s="51"/>
      <c r="F16" s="51"/>
      <c r="G16" s="51"/>
    </row>
    <row r="17" customFormat="false" ht="31.5" hidden="false" customHeight="true" outlineLevel="0" collapsed="false">
      <c r="A17" s="48"/>
      <c r="B17" s="49"/>
      <c r="C17" s="49"/>
      <c r="D17" s="49"/>
      <c r="E17" s="49"/>
      <c r="F17" s="49"/>
      <c r="G17" s="49"/>
    </row>
    <row r="18" customFormat="false" ht="31.5" hidden="false" customHeight="true" outlineLevel="0" collapsed="false">
      <c r="A18" s="50"/>
      <c r="B18" s="51"/>
      <c r="C18" s="51"/>
      <c r="D18" s="51"/>
      <c r="E18" s="51"/>
      <c r="F18" s="51"/>
      <c r="G18" s="51"/>
    </row>
    <row r="19" customFormat="false" ht="31.5" hidden="false" customHeight="true" outlineLevel="0" collapsed="false">
      <c r="A19" s="48"/>
      <c r="B19" s="49"/>
      <c r="C19" s="49"/>
      <c r="D19" s="49"/>
      <c r="E19" s="49"/>
      <c r="F19" s="49"/>
      <c r="G19" s="49"/>
    </row>
    <row r="20" customFormat="false" ht="31.5" hidden="false" customHeight="true" outlineLevel="0" collapsed="false">
      <c r="A20" s="50"/>
      <c r="B20" s="51"/>
      <c r="C20" s="51"/>
      <c r="D20" s="51"/>
      <c r="E20" s="51"/>
      <c r="F20" s="51"/>
      <c r="G20" s="51"/>
    </row>
    <row r="21" customFormat="false" ht="31.5" hidden="false" customHeight="true" outlineLevel="0" collapsed="false">
      <c r="A21" s="48"/>
      <c r="B21" s="49"/>
      <c r="C21" s="49"/>
      <c r="D21" s="49"/>
      <c r="E21" s="49"/>
      <c r="F21" s="49"/>
      <c r="G21" s="49"/>
    </row>
    <row r="22" customFormat="false" ht="31.5" hidden="false" customHeight="true" outlineLevel="0" collapsed="false">
      <c r="A22" s="50"/>
      <c r="B22" s="51"/>
      <c r="C22" s="51"/>
      <c r="D22" s="51"/>
      <c r="E22" s="51"/>
      <c r="F22" s="51"/>
      <c r="G22" s="51"/>
    </row>
    <row r="23" customFormat="false" ht="31.5" hidden="false" customHeight="true" outlineLevel="0" collapsed="false">
      <c r="A23" s="48"/>
      <c r="B23" s="49"/>
      <c r="C23" s="49"/>
      <c r="D23" s="49"/>
      <c r="E23" s="49"/>
      <c r="F23" s="49"/>
      <c r="G23" s="49"/>
    </row>
    <row r="24" customFormat="false" ht="31.5" hidden="false" customHeight="true" outlineLevel="0" collapsed="false">
      <c r="A24" s="50"/>
      <c r="B24" s="51"/>
      <c r="C24" s="51"/>
      <c r="D24" s="51"/>
      <c r="E24" s="51"/>
      <c r="F24" s="51"/>
      <c r="G24" s="51"/>
    </row>
  </sheetData>
  <autoFilter ref="A4:G24"/>
  <mergeCells count="2">
    <mergeCell ref="A1:G1"/>
    <mergeCell ref="A2:G2"/>
  </mergeCells>
  <dataValidations count="2">
    <dataValidation allowBlank="true" errorStyle="stop" operator="between" showDropDown="false" showErrorMessage="false" showInputMessage="false" sqref="G5:G24" type="list">
      <formula1>"No,In progress,Yes"</formula1>
      <formula2>0</formula2>
    </dataValidation>
    <dataValidation allowBlank="true" error="Enter a valid date between Jan 1, 2000 and Dec 31, 2100." errorStyle="stop" errorTitle="Check the date" operator="between" prompt="Type a valid date, for example Oct 11, 2026." promptTitle="Enter a date" showDropDown="false" showErrorMessage="true" showInputMessage="true" sqref="A5:A24" type="date">
      <formula1>DATE(2000,1,1)</formula1>
      <formula2>DATE(2100,12,31)</formula2>
    </dataValidation>
  </dataValidation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2026-10-12T02:48:26Z</dcterms:created>
  <dc:creator>openpyxl</dc:creator>
  <dc:description/>
  <dc:language>en-US</dc:language>
  <cp:lastModifiedBy/>
  <dcterms:modified xsi:type="dcterms:W3CDTF">2026-10-12T17:17:48Z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